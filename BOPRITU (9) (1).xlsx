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314C6ED-AD67-4D6B-A832-05D1CE571A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2" i="1"/>
  <c r="H2" i="1"/>
  <c r="M73" i="1"/>
  <c r="M76" i="1"/>
  <c r="B83" i="1" l="1"/>
  <c r="E83" i="1" s="1"/>
  <c r="H83" i="1" s="1"/>
  <c r="B2" i="1"/>
  <c r="E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E5" i="1" l="1"/>
  <c r="E11" i="1"/>
  <c r="D14" i="1"/>
  <c r="D35" i="1"/>
  <c r="D38" i="1"/>
  <c r="E41" i="1"/>
  <c r="E44" i="1"/>
  <c r="D45" i="1"/>
  <c r="D51" i="1"/>
  <c r="E54" i="1"/>
  <c r="E57" i="1"/>
  <c r="E61" i="1"/>
  <c r="D64" i="1"/>
  <c r="D67" i="1"/>
  <c r="E71" i="1"/>
  <c r="E75" i="1"/>
  <c r="E79" i="1"/>
  <c r="E3" i="1"/>
  <c r="E7" i="1"/>
  <c r="E10" i="1"/>
  <c r="E15" i="1"/>
  <c r="E18" i="1"/>
  <c r="E21" i="1"/>
  <c r="E24" i="1"/>
  <c r="E27" i="1"/>
  <c r="E30" i="1"/>
  <c r="E33" i="1"/>
  <c r="E36" i="1"/>
  <c r="D41" i="1"/>
  <c r="E43" i="1"/>
  <c r="E46" i="1"/>
  <c r="E49" i="1"/>
  <c r="E52" i="1"/>
  <c r="E56" i="1"/>
  <c r="E59" i="1"/>
  <c r="E62" i="1"/>
  <c r="E66" i="1"/>
  <c r="E69" i="1"/>
  <c r="E73" i="1"/>
  <c r="E77" i="1"/>
  <c r="E81" i="1"/>
  <c r="E4" i="1"/>
  <c r="E6" i="1"/>
  <c r="E8" i="1"/>
  <c r="E9" i="1"/>
  <c r="E12" i="1"/>
  <c r="E13" i="1"/>
  <c r="E14" i="1"/>
  <c r="E16" i="1"/>
  <c r="E17" i="1"/>
  <c r="E19" i="1"/>
  <c r="E20" i="1"/>
  <c r="E22" i="1"/>
  <c r="E23" i="1"/>
  <c r="E25" i="1"/>
  <c r="E26" i="1"/>
  <c r="E28" i="1"/>
  <c r="E29" i="1"/>
  <c r="E31" i="1"/>
  <c r="E32" i="1"/>
  <c r="E34" i="1"/>
  <c r="E37" i="1"/>
  <c r="E38" i="1"/>
  <c r="E39" i="1"/>
  <c r="E40" i="1"/>
  <c r="E42" i="1"/>
  <c r="E45" i="1"/>
  <c r="E47" i="1"/>
  <c r="E48" i="1"/>
  <c r="E50" i="1"/>
  <c r="E51" i="1"/>
  <c r="E53" i="1"/>
  <c r="E55" i="1"/>
  <c r="E58" i="1"/>
  <c r="E60" i="1"/>
  <c r="E63" i="1"/>
  <c r="E64" i="1"/>
  <c r="E65" i="1"/>
  <c r="E68" i="1"/>
  <c r="E70" i="1"/>
  <c r="E72" i="1"/>
  <c r="E74" i="1"/>
  <c r="E76" i="1"/>
  <c r="E78" i="1"/>
  <c r="E80" i="1"/>
  <c r="E82" i="1"/>
  <c r="D12" i="1"/>
  <c r="D15" i="1"/>
  <c r="D20" i="1"/>
  <c r="D29" i="1"/>
  <c r="D55" i="1"/>
  <c r="D66" i="1"/>
  <c r="D73" i="1"/>
  <c r="D4" i="1"/>
  <c r="D8" i="1"/>
  <c r="D19" i="1"/>
  <c r="D22" i="1"/>
  <c r="D31" i="1"/>
  <c r="D34" i="1"/>
  <c r="D47" i="1"/>
  <c r="D57" i="1"/>
  <c r="D60" i="1"/>
  <c r="D70" i="1"/>
  <c r="D72" i="1"/>
  <c r="D82" i="1"/>
  <c r="D2" i="1"/>
  <c r="D3" i="1"/>
  <c r="D6" i="1"/>
  <c r="D9" i="1"/>
  <c r="D10" i="1"/>
  <c r="D13" i="1"/>
  <c r="D16" i="1"/>
  <c r="D17" i="1"/>
  <c r="D21" i="1"/>
  <c r="D23" i="1"/>
  <c r="D24" i="1"/>
  <c r="D25" i="1"/>
  <c r="D26" i="1"/>
  <c r="D27" i="1"/>
  <c r="D28" i="1"/>
  <c r="D32" i="1"/>
  <c r="D33" i="1"/>
  <c r="D36" i="1"/>
  <c r="D37" i="1"/>
  <c r="D39" i="1"/>
  <c r="D40" i="1"/>
  <c r="D42" i="1"/>
  <c r="D46" i="1"/>
  <c r="D48" i="1"/>
  <c r="D49" i="1"/>
  <c r="D50" i="1"/>
  <c r="D52" i="1"/>
  <c r="D53" i="1"/>
  <c r="D58" i="1"/>
  <c r="D59" i="1"/>
  <c r="D62" i="1"/>
  <c r="D63" i="1"/>
  <c r="D65" i="1"/>
  <c r="D68" i="1"/>
  <c r="D74" i="1"/>
  <c r="D76" i="1"/>
  <c r="D77" i="1"/>
  <c r="D78" i="1"/>
  <c r="D80" i="1"/>
  <c r="D81" i="1"/>
  <c r="D83" i="1" l="1"/>
  <c r="D5" i="1"/>
  <c r="D71" i="1"/>
  <c r="D54" i="1"/>
  <c r="E67" i="1"/>
  <c r="D44" i="1"/>
  <c r="D11" i="1"/>
  <c r="D79" i="1"/>
  <c r="D61" i="1"/>
  <c r="E35" i="1"/>
  <c r="D69" i="1"/>
  <c r="D56" i="1"/>
  <c r="D43" i="1"/>
  <c r="D30" i="1"/>
  <c r="D18" i="1"/>
  <c r="D75" i="1"/>
  <c r="D7" i="1"/>
  <c r="I44" i="1"/>
  <c r="H42" i="1" l="1"/>
  <c r="I6" i="1"/>
  <c r="H68" i="1"/>
  <c r="I83" i="1"/>
  <c r="K83" i="1" s="1"/>
  <c r="H35" i="1"/>
  <c r="I11" i="1"/>
  <c r="H23" i="1"/>
  <c r="I60" i="1"/>
  <c r="H28" i="1"/>
  <c r="I16" i="1"/>
  <c r="I4" i="1"/>
  <c r="I75" i="1"/>
  <c r="I82" i="1"/>
  <c r="I34" i="1"/>
  <c r="H52" i="1"/>
  <c r="I12" i="1"/>
  <c r="H22" i="1"/>
  <c r="H66" i="1"/>
  <c r="H33" i="1"/>
  <c r="H15" i="1"/>
  <c r="H80" i="1"/>
  <c r="I72" i="1"/>
  <c r="H65" i="1"/>
  <c r="I58" i="1"/>
  <c r="I45" i="1"/>
  <c r="H39" i="1"/>
  <c r="I32" i="1"/>
  <c r="I26" i="1"/>
  <c r="I20" i="1"/>
  <c r="I9" i="1"/>
  <c r="I31" i="1"/>
  <c r="I17" i="1"/>
  <c r="I53" i="1"/>
  <c r="H59" i="1"/>
  <c r="I27" i="1"/>
  <c r="H10" i="1"/>
  <c r="I79" i="1"/>
  <c r="I64" i="1"/>
  <c r="I51" i="1"/>
  <c r="I38" i="1"/>
  <c r="I14" i="1"/>
  <c r="I71" i="1"/>
  <c r="H48" i="1"/>
  <c r="H74" i="1"/>
  <c r="H40" i="1"/>
  <c r="H81" i="1"/>
  <c r="I78" i="1"/>
  <c r="I63" i="1"/>
  <c r="I50" i="1"/>
  <c r="I37" i="1"/>
  <c r="I25" i="1"/>
  <c r="I13" i="1"/>
  <c r="I8" i="1"/>
  <c r="I70" i="1"/>
  <c r="I19" i="1"/>
  <c r="I76" i="1"/>
  <c r="I29" i="1"/>
  <c r="I47" i="1"/>
  <c r="I73" i="1"/>
  <c r="H46" i="1"/>
  <c r="H3" i="1"/>
  <c r="I77" i="1"/>
  <c r="I69" i="1"/>
  <c r="H62" i="1"/>
  <c r="I56" i="1"/>
  <c r="H49" i="1"/>
  <c r="I43" i="1"/>
  <c r="H36" i="1"/>
  <c r="H30" i="1"/>
  <c r="I24" i="1"/>
  <c r="I18" i="1"/>
  <c r="H7" i="1"/>
  <c r="I57" i="1"/>
  <c r="I52" i="1"/>
  <c r="H21" i="1"/>
  <c r="I21" i="1"/>
  <c r="I15" i="1"/>
  <c r="I67" i="1"/>
  <c r="H67" i="1"/>
  <c r="I61" i="1"/>
  <c r="H61" i="1"/>
  <c r="H77" i="1"/>
  <c r="H24" i="1"/>
  <c r="H18" i="1"/>
  <c r="I54" i="1"/>
  <c r="H54" i="1"/>
  <c r="I5" i="1"/>
  <c r="H5" i="1"/>
  <c r="I68" i="1"/>
  <c r="H55" i="1"/>
  <c r="I55" i="1"/>
  <c r="H29" i="1"/>
  <c r="H12" i="1"/>
  <c r="I41" i="1"/>
  <c r="H41" i="1"/>
  <c r="I74" i="1"/>
  <c r="I40" i="1"/>
  <c r="H34" i="1"/>
  <c r="I28" i="1"/>
  <c r="I22" i="1"/>
  <c r="H16" i="1"/>
  <c r="I80" i="1"/>
  <c r="I39" i="1"/>
  <c r="H9" i="1"/>
  <c r="H32" i="1"/>
  <c r="H26" i="1"/>
  <c r="H44" i="1"/>
  <c r="K44" i="1" s="1"/>
  <c r="H38" i="1"/>
  <c r="H50" i="1"/>
  <c r="H25" i="1"/>
  <c r="H19" i="1"/>
  <c r="K26" i="1" l="1"/>
  <c r="L26" i="1" s="1"/>
  <c r="K32" i="1"/>
  <c r="L32" i="1" s="1"/>
  <c r="K19" i="1"/>
  <c r="L19" i="1" s="1"/>
  <c r="K50" i="1"/>
  <c r="L50" i="1" s="1"/>
  <c r="K9" i="1"/>
  <c r="K39" i="1"/>
  <c r="L39" i="1" s="1"/>
  <c r="K25" i="1"/>
  <c r="K38" i="1"/>
  <c r="K80" i="1"/>
  <c r="K52" i="1"/>
  <c r="K15" i="1"/>
  <c r="H51" i="1"/>
  <c r="K51" i="1" s="1"/>
  <c r="H17" i="1"/>
  <c r="K17" i="1" s="1"/>
  <c r="H31" i="1"/>
  <c r="K31" i="1" s="1"/>
  <c r="H70" i="1"/>
  <c r="K70" i="1" s="1"/>
  <c r="H64" i="1"/>
  <c r="K64" i="1" s="1"/>
  <c r="I65" i="1"/>
  <c r="K65" i="1" s="1"/>
  <c r="L83" i="1"/>
  <c r="H6" i="1"/>
  <c r="K6" i="1" s="1"/>
  <c r="I42" i="1"/>
  <c r="K42" i="1" s="1"/>
  <c r="I7" i="1"/>
  <c r="K7" i="1" s="1"/>
  <c r="I30" i="1"/>
  <c r="K30" i="1" s="1"/>
  <c r="H11" i="1"/>
  <c r="K11" i="1" s="1"/>
  <c r="I33" i="1"/>
  <c r="K33" i="1" s="1"/>
  <c r="H78" i="1"/>
  <c r="K78" i="1" s="1"/>
  <c r="I23" i="1"/>
  <c r="K23" i="1" s="1"/>
  <c r="I35" i="1"/>
  <c r="K35" i="1" s="1"/>
  <c r="H13" i="1"/>
  <c r="K13" i="1" s="1"/>
  <c r="H58" i="1"/>
  <c r="K58" i="1" s="1"/>
  <c r="K68" i="1"/>
  <c r="I62" i="1"/>
  <c r="K62" i="1" s="1"/>
  <c r="K61" i="1"/>
  <c r="H27" i="1"/>
  <c r="K27" i="1" s="1"/>
  <c r="H37" i="1"/>
  <c r="K37" i="1" s="1"/>
  <c r="H20" i="1"/>
  <c r="K20" i="1" s="1"/>
  <c r="H47" i="1"/>
  <c r="K47" i="1" s="1"/>
  <c r="I66" i="1"/>
  <c r="K66" i="1" s="1"/>
  <c r="H72" i="1"/>
  <c r="K72" i="1" s="1"/>
  <c r="H53" i="1"/>
  <c r="K53" i="1" s="1"/>
  <c r="H4" i="1"/>
  <c r="K4" i="1" s="1"/>
  <c r="I36" i="1"/>
  <c r="K36" i="1" s="1"/>
  <c r="H60" i="1"/>
  <c r="K60" i="1" s="1"/>
  <c r="K74" i="1"/>
  <c r="H45" i="1"/>
  <c r="K45" i="1" s="1"/>
  <c r="I49" i="1"/>
  <c r="K49" i="1" s="1"/>
  <c r="H75" i="1"/>
  <c r="K75" i="1" s="1"/>
  <c r="M75" i="1" s="1"/>
  <c r="I46" i="1"/>
  <c r="K46" i="1" s="1"/>
  <c r="H8" i="1"/>
  <c r="K8" i="1" s="1"/>
  <c r="H71" i="1"/>
  <c r="K71" i="1" s="1"/>
  <c r="H82" i="1"/>
  <c r="K82" i="1" s="1"/>
  <c r="I10" i="1"/>
  <c r="K10" i="1" s="1"/>
  <c r="H79" i="1"/>
  <c r="K79" i="1" s="1"/>
  <c r="M79" i="1" s="1"/>
  <c r="K54" i="1"/>
  <c r="H73" i="1"/>
  <c r="K73" i="1" s="1"/>
  <c r="H63" i="1"/>
  <c r="K63" i="1" s="1"/>
  <c r="I48" i="1"/>
  <c r="K48" i="1" s="1"/>
  <c r="H76" i="1"/>
  <c r="K76" i="1" s="1"/>
  <c r="H56" i="1"/>
  <c r="K56" i="1" s="1"/>
  <c r="I81" i="1"/>
  <c r="K81" i="1" s="1"/>
  <c r="M81" i="1" s="1"/>
  <c r="H14" i="1"/>
  <c r="K14" i="1" s="1"/>
  <c r="I3" i="1"/>
  <c r="K3" i="1" s="1"/>
  <c r="I59" i="1"/>
  <c r="K59" i="1" s="1"/>
  <c r="K41" i="1"/>
  <c r="K12" i="1"/>
  <c r="H69" i="1"/>
  <c r="K69" i="1" s="1"/>
  <c r="H57" i="1"/>
  <c r="K57" i="1" s="1"/>
  <c r="H43" i="1"/>
  <c r="K43" i="1" s="1"/>
  <c r="K24" i="1"/>
  <c r="K29" i="1"/>
  <c r="K67" i="1"/>
  <c r="K21" i="1"/>
  <c r="K18" i="1"/>
  <c r="K77" i="1"/>
  <c r="K5" i="1"/>
  <c r="K16" i="1"/>
  <c r="K40" i="1"/>
  <c r="K55" i="1"/>
  <c r="K28" i="1"/>
  <c r="K22" i="1"/>
  <c r="K34" i="1"/>
  <c r="L44" i="1"/>
  <c r="L9" i="1" l="1"/>
  <c r="L25" i="1"/>
  <c r="L80" i="1"/>
  <c r="L10" i="1"/>
  <c r="L38" i="1"/>
  <c r="L2" i="1"/>
  <c r="L70" i="1"/>
  <c r="L61" i="1"/>
  <c r="L31" i="1"/>
  <c r="L11" i="1"/>
  <c r="L15" i="1"/>
  <c r="L46" i="1"/>
  <c r="L68" i="1"/>
  <c r="L20" i="1"/>
  <c r="L51" i="1"/>
  <c r="L65" i="1"/>
  <c r="L35" i="1"/>
  <c r="L58" i="1"/>
  <c r="L78" i="1"/>
  <c r="L42" i="1"/>
  <c r="L52" i="1"/>
  <c r="L64" i="1"/>
  <c r="L13" i="1"/>
  <c r="L45" i="1"/>
  <c r="L27" i="1"/>
  <c r="L54" i="1"/>
  <c r="L37" i="1"/>
  <c r="L77" i="1"/>
  <c r="L57" i="1"/>
  <c r="L14" i="1"/>
  <c r="L66" i="1"/>
  <c r="L3" i="1"/>
  <c r="L33" i="1"/>
  <c r="L59" i="1"/>
  <c r="L81" i="1"/>
  <c r="L67" i="1"/>
  <c r="L21" i="1"/>
  <c r="L29" i="1"/>
  <c r="L72" i="1"/>
  <c r="L75" i="1"/>
  <c r="L79" i="1"/>
  <c r="L30" i="1"/>
  <c r="L71" i="1"/>
  <c r="L74" i="1"/>
  <c r="L24" i="1"/>
  <c r="L8" i="1"/>
  <c r="L63" i="1"/>
  <c r="L12" i="1"/>
  <c r="L56" i="1"/>
  <c r="L73" i="1"/>
  <c r="L48" i="1"/>
  <c r="L5" i="1"/>
  <c r="L41" i="1"/>
  <c r="L7" i="1"/>
  <c r="L69" i="1"/>
  <c r="L43" i="1"/>
  <c r="L18" i="1"/>
  <c r="L34" i="1"/>
  <c r="L4" i="1"/>
  <c r="L55" i="1"/>
  <c r="L60" i="1"/>
  <c r="L49" i="1"/>
  <c r="L62" i="1"/>
  <c r="L47" i="1"/>
  <c r="L36" i="1"/>
  <c r="L76" i="1"/>
  <c r="L23" i="1"/>
  <c r="L22" i="1"/>
  <c r="L6" i="1"/>
  <c r="L82" i="1"/>
  <c r="L53" i="1"/>
  <c r="L40" i="1"/>
  <c r="L17" i="1"/>
  <c r="L28" i="1"/>
  <c r="L16" i="1"/>
</calcChain>
</file>

<file path=xl/sharedStrings.xml><?xml version="1.0" encoding="utf-8"?>
<sst xmlns="http://schemas.openxmlformats.org/spreadsheetml/2006/main" count="12" uniqueCount="11">
  <si>
    <t>TOTAL MONTHLY INSTALMENT</t>
  </si>
  <si>
    <t>LOAN AMOUNT</t>
  </si>
  <si>
    <t>INTEREST RATE</t>
  </si>
  <si>
    <t>MONTHLY INSTALMENT</t>
  </si>
  <si>
    <t>LOAN TERM</t>
  </si>
  <si>
    <t>FUNERAL POLICY</t>
  </si>
  <si>
    <t>MONTHLY COLLECTION FEE</t>
  </si>
  <si>
    <t>ADMIN FEE</t>
  </si>
  <si>
    <t>TOTAL COLLECTABLE</t>
  </si>
  <si>
    <t>LOYALTY</t>
  </si>
  <si>
    <t>Net Admin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</si>
</sst>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right" vertical="top" shrinkToFit="1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43" fontId="3" fillId="0" borderId="0" xfId="0" applyNumberFormat="1" applyFont="1" applyAlignment="1">
      <alignment horizontal="left" vertical="top"/>
    </xf>
    <xf numFmtId="1" fontId="1" fillId="0" borderId="3" xfId="0" applyNumberFormat="1" applyFont="1" applyBorder="1" applyAlignment="1">
      <alignment horizontal="right" vertical="top" shrinkToFit="1"/>
    </xf>
    <xf numFmtId="43" fontId="2" fillId="0" borderId="4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/>
    </xf>
    <xf numFmtId="4" fontId="3" fillId="0" borderId="0" xfId="0" applyNumberFormat="1" applyFont="1" applyAlignment="1">
      <alignment horizontal="left" vertical="top"/>
    </xf>
    <xf numFmtId="1" fontId="1" fillId="0" borderId="7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right" vertical="top"/>
    </xf>
    <xf numFmtId="4" fontId="1" fillId="0" borderId="5" xfId="0" applyNumberFormat="1" applyFont="1" applyBorder="1" applyAlignment="1">
      <alignment horizontal="right" vertical="top"/>
    </xf>
    <xf numFmtId="43" fontId="1" fillId="0" borderId="5" xfId="0" applyNumberFormat="1" applyFont="1" applyBorder="1" applyAlignment="1">
      <alignment horizontal="left" vertical="top"/>
    </xf>
    <xf numFmtId="43" fontId="1" fillId="0" borderId="2" xfId="0" applyNumberFormat="1" applyFont="1" applyBorder="1" applyAlignment="1">
      <alignment horizontal="left" vertical="top"/>
    </xf>
    <xf numFmtId="43" fontId="3" fillId="0" borderId="2" xfId="0" applyNumberFormat="1" applyFon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43" fontId="1" fillId="2" borderId="2" xfId="0" applyNumberFormat="1" applyFont="1" applyFill="1" applyBorder="1" applyAlignment="1">
      <alignment horizontal="left" vertical="top" wrapText="1"/>
    </xf>
    <xf numFmtId="4" fontId="1" fillId="2" borderId="2" xfId="0" applyNumberFormat="1" applyFont="1" applyFill="1" applyBorder="1" applyAlignment="1">
      <alignment horizontal="left" vertical="top" wrapText="1"/>
    </xf>
    <xf numFmtId="1" fontId="1" fillId="0" borderId="8" xfId="0" applyNumberFormat="1" applyFont="1" applyBorder="1" applyAlignment="1">
      <alignment horizontal="right" vertical="top" shrinkToFit="1"/>
    </xf>
    <xf numFmtId="10" fontId="1" fillId="0" borderId="1" xfId="0" applyNumberFormat="1" applyFont="1" applyBorder="1" applyAlignment="1">
      <alignment horizontal="right" vertical="top" shrinkToFit="1"/>
    </xf>
    <xf numFmtId="10" fontId="1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zoomScale="110" zoomScaleNormal="110" workbookViewId="0">
      <selection activeCell="E17" sqref="E17"/>
    </sheetView>
  </sheetViews>
  <sheetFormatPr defaultRowHeight="12.75" x14ac:dyDescent="0.2"/>
  <cols>
    <col min="1" max="1" width="20.1640625" style="3" bestFit="1" customWidth="1"/>
    <col min="2" max="2" width="20.1640625" style="3" customWidth="1"/>
    <col min="3" max="3" width="17.6640625" style="3" customWidth="1"/>
    <col min="4" max="4" width="21.1640625" style="3" customWidth="1"/>
    <col min="5" max="5" width="21.5" style="3" customWidth="1"/>
    <col min="6" max="6" width="19.83203125" style="3" customWidth="1"/>
    <col min="7" max="7" width="19.5" style="3" customWidth="1"/>
    <col min="8" max="8" width="17" style="4" customWidth="1"/>
    <col min="9" max="9" width="19" style="8" customWidth="1"/>
    <col min="10" max="10" width="20.1640625" style="8" customWidth="1"/>
    <col min="11" max="11" width="23.33203125" style="3" customWidth="1"/>
    <col min="12" max="12" width="19.83203125" style="3" customWidth="1"/>
    <col min="13" max="13" width="10" style="3" bestFit="1" customWidth="1"/>
    <col min="14" max="16384" width="9.33203125" style="3"/>
  </cols>
  <sheetData>
    <row r="1" spans="1:28" s="2" customFormat="1" ht="59.25" customHeight="1" x14ac:dyDescent="0.2">
      <c r="A1" s="15" t="s">
        <v>1</v>
      </c>
      <c r="B1" s="15" t="s">
        <v>7</v>
      </c>
      <c r="C1" s="15" t="s">
        <v>9</v>
      </c>
      <c r="D1" s="15" t="s">
        <v>10</v>
      </c>
      <c r="E1" s="15" t="s">
        <v>1</v>
      </c>
      <c r="F1" s="15" t="s">
        <v>4</v>
      </c>
      <c r="G1" s="15" t="s">
        <v>2</v>
      </c>
      <c r="H1" s="16" t="s">
        <v>3</v>
      </c>
      <c r="I1" s="17" t="s">
        <v>6</v>
      </c>
      <c r="J1" s="17" t="s">
        <v>5</v>
      </c>
      <c r="K1" s="15" t="s">
        <v>0</v>
      </c>
      <c r="L1" s="15" t="s">
        <v>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7"/>
    </row>
    <row r="2" spans="1:28" ht="15.75" customHeight="1" x14ac:dyDescent="0.2">
      <c r="A2" s="1">
        <v>4000</v>
      </c>
      <c r="B2" s="5">
        <f t="shared" ref="B2:B44" si="0">0.03*A2</f>
        <v>120</v>
      </c>
      <c r="C2" s="14">
        <v>25</v>
      </c>
      <c r="D2" s="14">
        <f t="shared" ref="D2:D44" si="1">B2-C2</f>
        <v>95</v>
      </c>
      <c r="E2" s="18">
        <f>A2+B2</f>
        <v>4120</v>
      </c>
      <c r="F2" s="1">
        <v>3</v>
      </c>
      <c r="G2" s="19">
        <v>0.125</v>
      </c>
      <c r="H2" s="6">
        <f>(((G2*E2*F2)+E2)/F2)</f>
        <v>1888.3333333333333</v>
      </c>
      <c r="I2" s="11">
        <f>(0.015*E2)/F2</f>
        <v>20.599999999999998</v>
      </c>
      <c r="J2" s="11">
        <v>12</v>
      </c>
      <c r="K2" s="12">
        <f>I2+H2+J2</f>
        <v>1920.9333333333332</v>
      </c>
      <c r="L2" s="13">
        <f t="shared" ref="L2:L44" si="2">K2*F2</f>
        <v>5762.7999999999993</v>
      </c>
    </row>
    <row r="3" spans="1:28" ht="15.75" customHeight="1" x14ac:dyDescent="0.2">
      <c r="A3" s="1">
        <v>4000</v>
      </c>
      <c r="B3" s="5">
        <f t="shared" si="0"/>
        <v>120</v>
      </c>
      <c r="C3" s="14">
        <v>25</v>
      </c>
      <c r="D3" s="14">
        <f t="shared" si="1"/>
        <v>95</v>
      </c>
      <c r="E3" s="18">
        <f t="shared" ref="E3:E44" si="3">A3+B3</f>
        <v>4120</v>
      </c>
      <c r="F3" s="1">
        <v>6</v>
      </c>
      <c r="G3" s="19">
        <v>0.06</v>
      </c>
      <c r="H3" s="6">
        <f t="shared" ref="H3:H44" si="4">(((G3*E3*F3)+E3)/F3)</f>
        <v>933.86666666666667</v>
      </c>
      <c r="I3" s="11">
        <f t="shared" ref="I2:I19" si="5">(0.015*E3)/F3</f>
        <v>10.299999999999999</v>
      </c>
      <c r="J3" s="11">
        <v>12</v>
      </c>
      <c r="K3" s="12">
        <f t="shared" ref="K3:K44" si="6">I3+H3+J3</f>
        <v>956.16666666666663</v>
      </c>
      <c r="L3" s="13">
        <f t="shared" si="2"/>
        <v>5737</v>
      </c>
    </row>
    <row r="4" spans="1:28" ht="15.75" customHeight="1" x14ac:dyDescent="0.2">
      <c r="A4" s="1">
        <v>5000</v>
      </c>
      <c r="B4" s="5">
        <f t="shared" si="0"/>
        <v>150</v>
      </c>
      <c r="C4" s="14">
        <v>25</v>
      </c>
      <c r="D4" s="14">
        <f t="shared" si="1"/>
        <v>125</v>
      </c>
      <c r="E4" s="18">
        <f t="shared" si="3"/>
        <v>5150</v>
      </c>
      <c r="F4" s="1">
        <v>3</v>
      </c>
      <c r="G4" s="19">
        <v>0.125</v>
      </c>
      <c r="H4" s="6">
        <f t="shared" si="4"/>
        <v>2360.4166666666665</v>
      </c>
      <c r="I4" s="11">
        <f t="shared" si="5"/>
        <v>25.75</v>
      </c>
      <c r="J4" s="11">
        <v>12</v>
      </c>
      <c r="K4" s="12">
        <f t="shared" si="6"/>
        <v>2398.1666666666665</v>
      </c>
      <c r="L4" s="13">
        <f t="shared" si="2"/>
        <v>7194.5</v>
      </c>
    </row>
    <row r="5" spans="1:28" ht="15.75" customHeight="1" x14ac:dyDescent="0.2">
      <c r="A5" s="1">
        <v>5000</v>
      </c>
      <c r="B5" s="5">
        <f t="shared" si="0"/>
        <v>150</v>
      </c>
      <c r="C5" s="14">
        <v>25</v>
      </c>
      <c r="D5" s="14">
        <f t="shared" si="1"/>
        <v>125</v>
      </c>
      <c r="E5" s="18">
        <f t="shared" si="3"/>
        <v>5150</v>
      </c>
      <c r="F5" s="1">
        <v>6</v>
      </c>
      <c r="G5" s="19">
        <v>0.06</v>
      </c>
      <c r="H5" s="6">
        <f t="shared" si="4"/>
        <v>1167.3333333333333</v>
      </c>
      <c r="I5" s="11">
        <f t="shared" si="5"/>
        <v>12.875</v>
      </c>
      <c r="J5" s="11">
        <v>12</v>
      </c>
      <c r="K5" s="12">
        <f t="shared" si="6"/>
        <v>1192.2083333333333</v>
      </c>
      <c r="L5" s="13">
        <f t="shared" si="2"/>
        <v>7153.25</v>
      </c>
    </row>
    <row r="6" spans="1:28" ht="15.75" customHeight="1" x14ac:dyDescent="0.2">
      <c r="A6" s="1">
        <v>6000</v>
      </c>
      <c r="B6" s="5">
        <f t="shared" si="0"/>
        <v>180</v>
      </c>
      <c r="C6" s="14">
        <v>25</v>
      </c>
      <c r="D6" s="14">
        <f t="shared" si="1"/>
        <v>155</v>
      </c>
      <c r="E6" s="18">
        <f t="shared" si="3"/>
        <v>6180</v>
      </c>
      <c r="F6" s="1">
        <v>3</v>
      </c>
      <c r="G6" s="19">
        <v>0.125</v>
      </c>
      <c r="H6" s="6">
        <f t="shared" si="4"/>
        <v>2832.5</v>
      </c>
      <c r="I6" s="11">
        <f t="shared" si="5"/>
        <v>30.900000000000002</v>
      </c>
      <c r="J6" s="11">
        <v>12</v>
      </c>
      <c r="K6" s="12">
        <f t="shared" si="6"/>
        <v>2875.4</v>
      </c>
      <c r="L6" s="13">
        <f t="shared" si="2"/>
        <v>8626.2000000000007</v>
      </c>
    </row>
    <row r="7" spans="1:28" ht="15.75" customHeight="1" x14ac:dyDescent="0.2">
      <c r="A7" s="1">
        <v>6000</v>
      </c>
      <c r="B7" s="5">
        <f t="shared" si="0"/>
        <v>180</v>
      </c>
      <c r="C7" s="14">
        <v>25</v>
      </c>
      <c r="D7" s="14">
        <f t="shared" si="1"/>
        <v>155</v>
      </c>
      <c r="E7" s="18">
        <f t="shared" si="3"/>
        <v>6180</v>
      </c>
      <c r="F7" s="1">
        <v>6</v>
      </c>
      <c r="G7" s="19">
        <v>0.06</v>
      </c>
      <c r="H7" s="6">
        <f t="shared" si="4"/>
        <v>1400.8</v>
      </c>
      <c r="I7" s="11">
        <f t="shared" si="5"/>
        <v>15.450000000000001</v>
      </c>
      <c r="J7" s="11">
        <v>12</v>
      </c>
      <c r="K7" s="12">
        <f t="shared" si="6"/>
        <v>1428.25</v>
      </c>
      <c r="L7" s="13">
        <f t="shared" si="2"/>
        <v>8569.5</v>
      </c>
    </row>
    <row r="8" spans="1:28" ht="15.75" customHeight="1" x14ac:dyDescent="0.2">
      <c r="A8" s="1">
        <v>6000</v>
      </c>
      <c r="B8" s="5">
        <f t="shared" si="0"/>
        <v>180</v>
      </c>
      <c r="C8" s="14">
        <v>25</v>
      </c>
      <c r="D8" s="14">
        <f t="shared" si="1"/>
        <v>155</v>
      </c>
      <c r="E8" s="18">
        <f t="shared" si="3"/>
        <v>6180</v>
      </c>
      <c r="F8" s="1">
        <v>12</v>
      </c>
      <c r="G8" s="19">
        <v>0.06</v>
      </c>
      <c r="H8" s="6">
        <f t="shared" si="4"/>
        <v>885.80000000000007</v>
      </c>
      <c r="I8" s="11">
        <f t="shared" si="5"/>
        <v>7.7250000000000005</v>
      </c>
      <c r="J8" s="11">
        <v>12</v>
      </c>
      <c r="K8" s="12">
        <f t="shared" si="6"/>
        <v>905.52500000000009</v>
      </c>
      <c r="L8" s="13">
        <f t="shared" si="2"/>
        <v>10866.300000000001</v>
      </c>
    </row>
    <row r="9" spans="1:28" ht="15.75" customHeight="1" x14ac:dyDescent="0.2">
      <c r="A9" s="1">
        <v>7000</v>
      </c>
      <c r="B9" s="5">
        <f t="shared" si="0"/>
        <v>210</v>
      </c>
      <c r="C9" s="14">
        <v>25</v>
      </c>
      <c r="D9" s="14">
        <f t="shared" si="1"/>
        <v>185</v>
      </c>
      <c r="E9" s="18">
        <f t="shared" si="3"/>
        <v>7210</v>
      </c>
      <c r="F9" s="1">
        <v>6</v>
      </c>
      <c r="G9" s="19">
        <v>0.06</v>
      </c>
      <c r="H9" s="6">
        <f t="shared" si="4"/>
        <v>1634.2666666666667</v>
      </c>
      <c r="I9" s="11">
        <f t="shared" si="5"/>
        <v>18.024999999999999</v>
      </c>
      <c r="J9" s="11">
        <v>12</v>
      </c>
      <c r="K9" s="12">
        <f t="shared" si="6"/>
        <v>1664.2916666666667</v>
      </c>
      <c r="L9" s="13">
        <f t="shared" si="2"/>
        <v>9985.75</v>
      </c>
    </row>
    <row r="10" spans="1:28" ht="15.75" customHeight="1" x14ac:dyDescent="0.2">
      <c r="A10" s="1">
        <v>7000</v>
      </c>
      <c r="B10" s="5">
        <f t="shared" si="0"/>
        <v>210</v>
      </c>
      <c r="C10" s="14">
        <v>25</v>
      </c>
      <c r="D10" s="14">
        <f t="shared" si="1"/>
        <v>185</v>
      </c>
      <c r="E10" s="18">
        <f t="shared" si="3"/>
        <v>7210</v>
      </c>
      <c r="F10" s="1">
        <v>12</v>
      </c>
      <c r="G10" s="19">
        <v>0.06</v>
      </c>
      <c r="H10" s="6">
        <f t="shared" si="4"/>
        <v>1033.4333333333334</v>
      </c>
      <c r="I10" s="11">
        <f t="shared" si="5"/>
        <v>9.0124999999999993</v>
      </c>
      <c r="J10" s="11">
        <v>12</v>
      </c>
      <c r="K10" s="12">
        <f t="shared" si="6"/>
        <v>1054.4458333333334</v>
      </c>
      <c r="L10" s="13">
        <f t="shared" si="2"/>
        <v>12653.350000000002</v>
      </c>
    </row>
    <row r="11" spans="1:28" ht="15.75" customHeight="1" x14ac:dyDescent="0.2">
      <c r="A11" s="1">
        <v>8000</v>
      </c>
      <c r="B11" s="5">
        <f t="shared" si="0"/>
        <v>240</v>
      </c>
      <c r="C11" s="14">
        <v>25</v>
      </c>
      <c r="D11" s="14">
        <f t="shared" si="1"/>
        <v>215</v>
      </c>
      <c r="E11" s="18">
        <f t="shared" si="3"/>
        <v>8240</v>
      </c>
      <c r="F11" s="1">
        <v>6</v>
      </c>
      <c r="G11" s="19">
        <v>0.06</v>
      </c>
      <c r="H11" s="6">
        <f t="shared" si="4"/>
        <v>1867.7333333333333</v>
      </c>
      <c r="I11" s="11">
        <f t="shared" si="5"/>
        <v>20.599999999999998</v>
      </c>
      <c r="J11" s="11">
        <v>12</v>
      </c>
      <c r="K11" s="12">
        <f t="shared" si="6"/>
        <v>1900.3333333333333</v>
      </c>
      <c r="L11" s="13">
        <f t="shared" si="2"/>
        <v>11402</v>
      </c>
    </row>
    <row r="12" spans="1:28" ht="15.75" customHeight="1" x14ac:dyDescent="0.2">
      <c r="A12" s="1">
        <v>8000</v>
      </c>
      <c r="B12" s="5">
        <f t="shared" si="0"/>
        <v>240</v>
      </c>
      <c r="C12" s="14">
        <v>25</v>
      </c>
      <c r="D12" s="14">
        <f t="shared" si="1"/>
        <v>215</v>
      </c>
      <c r="E12" s="18">
        <f t="shared" si="3"/>
        <v>8240</v>
      </c>
      <c r="F12" s="1">
        <v>12</v>
      </c>
      <c r="G12" s="19">
        <v>0.06</v>
      </c>
      <c r="H12" s="6">
        <f t="shared" si="4"/>
        <v>1181.0666666666666</v>
      </c>
      <c r="I12" s="11">
        <f t="shared" si="5"/>
        <v>10.299999999999999</v>
      </c>
      <c r="J12" s="11">
        <v>12</v>
      </c>
      <c r="K12" s="12">
        <f t="shared" si="6"/>
        <v>1203.3666666666666</v>
      </c>
      <c r="L12" s="13">
        <f t="shared" si="2"/>
        <v>14440.399999999998</v>
      </c>
    </row>
    <row r="13" spans="1:28" ht="15.75" customHeight="1" x14ac:dyDescent="0.2">
      <c r="A13" s="1">
        <v>9000</v>
      </c>
      <c r="B13" s="5">
        <f t="shared" si="0"/>
        <v>270</v>
      </c>
      <c r="C13" s="14">
        <v>25</v>
      </c>
      <c r="D13" s="14">
        <f t="shared" si="1"/>
        <v>245</v>
      </c>
      <c r="E13" s="18">
        <f t="shared" si="3"/>
        <v>9270</v>
      </c>
      <c r="F13" s="1">
        <v>6</v>
      </c>
      <c r="G13" s="19">
        <v>0.06</v>
      </c>
      <c r="H13" s="6">
        <f t="shared" si="4"/>
        <v>2101.2000000000003</v>
      </c>
      <c r="I13" s="11">
        <f t="shared" si="5"/>
        <v>23.174999999999997</v>
      </c>
      <c r="J13" s="11">
        <v>12</v>
      </c>
      <c r="K13" s="12">
        <f t="shared" si="6"/>
        <v>2136.3750000000005</v>
      </c>
      <c r="L13" s="13">
        <f t="shared" si="2"/>
        <v>12818.250000000004</v>
      </c>
    </row>
    <row r="14" spans="1:28" ht="15.75" customHeight="1" x14ac:dyDescent="0.2">
      <c r="A14" s="1">
        <v>9000</v>
      </c>
      <c r="B14" s="5">
        <f t="shared" si="0"/>
        <v>270</v>
      </c>
      <c r="C14" s="14">
        <v>25</v>
      </c>
      <c r="D14" s="14">
        <f t="shared" si="1"/>
        <v>245</v>
      </c>
      <c r="E14" s="18">
        <f t="shared" si="3"/>
        <v>9270</v>
      </c>
      <c r="F14" s="1">
        <v>12</v>
      </c>
      <c r="G14" s="19">
        <v>0.06</v>
      </c>
      <c r="H14" s="6">
        <f t="shared" si="4"/>
        <v>1328.7</v>
      </c>
      <c r="I14" s="11">
        <f t="shared" si="5"/>
        <v>11.587499999999999</v>
      </c>
      <c r="J14" s="11">
        <v>12</v>
      </c>
      <c r="K14" s="12">
        <f t="shared" si="6"/>
        <v>1352.2875000000001</v>
      </c>
      <c r="L14" s="13">
        <f t="shared" si="2"/>
        <v>16227.45</v>
      </c>
    </row>
    <row r="15" spans="1:28" ht="15.75" customHeight="1" x14ac:dyDescent="0.2">
      <c r="A15" s="1">
        <v>10000</v>
      </c>
      <c r="B15" s="5">
        <f t="shared" si="0"/>
        <v>300</v>
      </c>
      <c r="C15" s="14">
        <v>25</v>
      </c>
      <c r="D15" s="14">
        <f t="shared" si="1"/>
        <v>275</v>
      </c>
      <c r="E15" s="18">
        <f t="shared" si="3"/>
        <v>10300</v>
      </c>
      <c r="F15" s="1">
        <v>6</v>
      </c>
      <c r="G15" s="19">
        <v>0.06</v>
      </c>
      <c r="H15" s="6">
        <f t="shared" si="4"/>
        <v>2334.6666666666665</v>
      </c>
      <c r="I15" s="11">
        <f t="shared" si="5"/>
        <v>25.75</v>
      </c>
      <c r="J15" s="11">
        <v>12</v>
      </c>
      <c r="K15" s="12">
        <f t="shared" si="6"/>
        <v>2372.4166666666665</v>
      </c>
      <c r="L15" s="13">
        <f t="shared" si="2"/>
        <v>14234.5</v>
      </c>
    </row>
    <row r="16" spans="1:28" ht="15.75" customHeight="1" x14ac:dyDescent="0.2">
      <c r="A16" s="1">
        <v>10000</v>
      </c>
      <c r="B16" s="5">
        <f t="shared" si="0"/>
        <v>300</v>
      </c>
      <c r="C16" s="14">
        <v>25</v>
      </c>
      <c r="D16" s="14">
        <f t="shared" si="1"/>
        <v>275</v>
      </c>
      <c r="E16" s="18">
        <f t="shared" si="3"/>
        <v>10300</v>
      </c>
      <c r="F16" s="1">
        <v>12</v>
      </c>
      <c r="G16" s="19">
        <v>0.06</v>
      </c>
      <c r="H16" s="6">
        <f>(((G16*E16*F16)+E16)/F16)</f>
        <v>1476.3333333333333</v>
      </c>
      <c r="I16" s="11">
        <f t="shared" si="5"/>
        <v>12.875</v>
      </c>
      <c r="J16" s="11">
        <v>12</v>
      </c>
      <c r="K16" s="12">
        <f t="shared" si="6"/>
        <v>1501.2083333333333</v>
      </c>
      <c r="L16" s="13">
        <f t="shared" si="2"/>
        <v>18014.5</v>
      </c>
    </row>
    <row r="17" spans="1:12" ht="15.75" customHeight="1" x14ac:dyDescent="0.2">
      <c r="A17" s="1">
        <v>11000</v>
      </c>
      <c r="B17" s="5">
        <f t="shared" si="0"/>
        <v>330</v>
      </c>
      <c r="C17" s="14">
        <v>25</v>
      </c>
      <c r="D17" s="14">
        <f t="shared" si="1"/>
        <v>305</v>
      </c>
      <c r="E17" s="18">
        <f t="shared" si="3"/>
        <v>11330</v>
      </c>
      <c r="F17" s="1">
        <v>6</v>
      </c>
      <c r="G17" s="19">
        <v>0.06</v>
      </c>
      <c r="H17" s="6">
        <f t="shared" si="4"/>
        <v>2568.1333333333332</v>
      </c>
      <c r="I17" s="11">
        <f t="shared" si="5"/>
        <v>28.324999999999999</v>
      </c>
      <c r="J17" s="11">
        <v>12</v>
      </c>
      <c r="K17" s="12">
        <f t="shared" si="6"/>
        <v>2608.458333333333</v>
      </c>
      <c r="L17" s="13">
        <f t="shared" si="2"/>
        <v>15650.749999999998</v>
      </c>
    </row>
    <row r="18" spans="1:12" ht="15.75" customHeight="1" x14ac:dyDescent="0.2">
      <c r="A18" s="1">
        <v>11000</v>
      </c>
      <c r="B18" s="5">
        <f t="shared" si="0"/>
        <v>330</v>
      </c>
      <c r="C18" s="14">
        <v>25</v>
      </c>
      <c r="D18" s="14">
        <f t="shared" si="1"/>
        <v>305</v>
      </c>
      <c r="E18" s="18">
        <f t="shared" si="3"/>
        <v>11330</v>
      </c>
      <c r="F18" s="1">
        <v>12</v>
      </c>
      <c r="G18" s="19">
        <v>0.06</v>
      </c>
      <c r="H18" s="6">
        <f t="shared" si="4"/>
        <v>1623.9666666666665</v>
      </c>
      <c r="I18" s="11">
        <f t="shared" si="5"/>
        <v>14.1625</v>
      </c>
      <c r="J18" s="11">
        <v>12</v>
      </c>
      <c r="K18" s="12">
        <f t="shared" si="6"/>
        <v>1650.1291666666664</v>
      </c>
      <c r="L18" s="13">
        <f t="shared" si="2"/>
        <v>19801.549999999996</v>
      </c>
    </row>
    <row r="19" spans="1:12" ht="15.75" customHeight="1" x14ac:dyDescent="0.2">
      <c r="A19" s="1">
        <v>11000</v>
      </c>
      <c r="B19" s="5">
        <f t="shared" si="0"/>
        <v>330</v>
      </c>
      <c r="C19" s="14">
        <v>25</v>
      </c>
      <c r="D19" s="14">
        <f t="shared" si="1"/>
        <v>305</v>
      </c>
      <c r="E19" s="18">
        <f t="shared" si="3"/>
        <v>11330</v>
      </c>
      <c r="F19" s="1">
        <v>18</v>
      </c>
      <c r="G19" s="19">
        <v>4.4999999999999998E-2</v>
      </c>
      <c r="H19" s="6">
        <f t="shared" si="4"/>
        <v>1139.2944444444445</v>
      </c>
      <c r="I19" s="11">
        <f t="shared" si="5"/>
        <v>9.4416666666666664</v>
      </c>
      <c r="J19" s="11">
        <v>12</v>
      </c>
      <c r="K19" s="12">
        <f t="shared" si="6"/>
        <v>1160.7361111111111</v>
      </c>
      <c r="L19" s="13">
        <f t="shared" si="2"/>
        <v>20893.25</v>
      </c>
    </row>
    <row r="20" spans="1:12" ht="15.75" customHeight="1" x14ac:dyDescent="0.2">
      <c r="A20" s="1">
        <v>12000</v>
      </c>
      <c r="B20" s="5">
        <f t="shared" si="0"/>
        <v>360</v>
      </c>
      <c r="C20" s="14">
        <v>25</v>
      </c>
      <c r="D20" s="14">
        <f t="shared" si="1"/>
        <v>335</v>
      </c>
      <c r="E20" s="18">
        <f t="shared" si="3"/>
        <v>12360</v>
      </c>
      <c r="F20" s="1">
        <v>6</v>
      </c>
      <c r="G20" s="19">
        <v>0.06</v>
      </c>
      <c r="H20" s="6">
        <f t="shared" si="4"/>
        <v>2801.6</v>
      </c>
      <c r="I20" s="11">
        <f t="shared" ref="I20:I43" si="7">(0.015*E20)/F20</f>
        <v>30.900000000000002</v>
      </c>
      <c r="J20" s="11">
        <v>12</v>
      </c>
      <c r="K20" s="12">
        <f t="shared" si="6"/>
        <v>2844.5</v>
      </c>
      <c r="L20" s="13">
        <f t="shared" si="2"/>
        <v>17067</v>
      </c>
    </row>
    <row r="21" spans="1:12" ht="15.75" customHeight="1" x14ac:dyDescent="0.2">
      <c r="A21" s="1">
        <v>12000</v>
      </c>
      <c r="B21" s="5">
        <f t="shared" si="0"/>
        <v>360</v>
      </c>
      <c r="C21" s="14">
        <v>25</v>
      </c>
      <c r="D21" s="14">
        <f t="shared" si="1"/>
        <v>335</v>
      </c>
      <c r="E21" s="18">
        <f t="shared" si="3"/>
        <v>12360</v>
      </c>
      <c r="F21" s="1">
        <v>12</v>
      </c>
      <c r="G21" s="19">
        <v>0.06</v>
      </c>
      <c r="H21" s="6">
        <f t="shared" si="4"/>
        <v>1771.6000000000001</v>
      </c>
      <c r="I21" s="11">
        <f t="shared" si="7"/>
        <v>15.450000000000001</v>
      </c>
      <c r="J21" s="11">
        <v>12</v>
      </c>
      <c r="K21" s="12">
        <f t="shared" si="6"/>
        <v>1799.0500000000002</v>
      </c>
      <c r="L21" s="13">
        <f t="shared" si="2"/>
        <v>21588.600000000002</v>
      </c>
    </row>
    <row r="22" spans="1:12" ht="15.75" customHeight="1" x14ac:dyDescent="0.2">
      <c r="A22" s="1">
        <v>12000</v>
      </c>
      <c r="B22" s="5">
        <f t="shared" si="0"/>
        <v>360</v>
      </c>
      <c r="C22" s="14">
        <v>25</v>
      </c>
      <c r="D22" s="14">
        <f t="shared" si="1"/>
        <v>335</v>
      </c>
      <c r="E22" s="18">
        <f t="shared" si="3"/>
        <v>12360</v>
      </c>
      <c r="F22" s="1">
        <v>18</v>
      </c>
      <c r="G22" s="19">
        <v>4.4999999999999998E-2</v>
      </c>
      <c r="H22" s="6">
        <f t="shared" si="4"/>
        <v>1242.8666666666666</v>
      </c>
      <c r="I22" s="11">
        <f t="shared" si="7"/>
        <v>10.3</v>
      </c>
      <c r="J22" s="11">
        <v>12</v>
      </c>
      <c r="K22" s="12">
        <f t="shared" si="6"/>
        <v>1265.1666666666665</v>
      </c>
      <c r="L22" s="13">
        <f t="shared" si="2"/>
        <v>22772.999999999996</v>
      </c>
    </row>
    <row r="23" spans="1:12" ht="15.75" customHeight="1" x14ac:dyDescent="0.2">
      <c r="A23" s="1">
        <v>13000</v>
      </c>
      <c r="B23" s="5">
        <f t="shared" si="0"/>
        <v>390</v>
      </c>
      <c r="C23" s="14">
        <v>25</v>
      </c>
      <c r="D23" s="14">
        <f t="shared" si="1"/>
        <v>365</v>
      </c>
      <c r="E23" s="18">
        <f t="shared" si="3"/>
        <v>13390</v>
      </c>
      <c r="F23" s="1">
        <v>6</v>
      </c>
      <c r="G23" s="19">
        <v>0.06</v>
      </c>
      <c r="H23" s="6">
        <f t="shared" si="4"/>
        <v>3035.0666666666671</v>
      </c>
      <c r="I23" s="11">
        <f t="shared" si="7"/>
        <v>33.475000000000001</v>
      </c>
      <c r="J23" s="11">
        <v>12</v>
      </c>
      <c r="K23" s="12">
        <f t="shared" si="6"/>
        <v>3080.541666666667</v>
      </c>
      <c r="L23" s="13">
        <f t="shared" si="2"/>
        <v>18483.25</v>
      </c>
    </row>
    <row r="24" spans="1:12" ht="15.75" customHeight="1" x14ac:dyDescent="0.2">
      <c r="A24" s="1">
        <v>13000</v>
      </c>
      <c r="B24" s="5">
        <f t="shared" si="0"/>
        <v>390</v>
      </c>
      <c r="C24" s="14">
        <v>25</v>
      </c>
      <c r="D24" s="14">
        <f t="shared" si="1"/>
        <v>365</v>
      </c>
      <c r="E24" s="18">
        <f t="shared" si="3"/>
        <v>13390</v>
      </c>
      <c r="F24" s="1">
        <v>12</v>
      </c>
      <c r="G24" s="19">
        <v>0.06</v>
      </c>
      <c r="H24" s="6">
        <f t="shared" si="4"/>
        <v>1919.2333333333333</v>
      </c>
      <c r="I24" s="11">
        <f t="shared" si="7"/>
        <v>16.737500000000001</v>
      </c>
      <c r="J24" s="11">
        <v>12</v>
      </c>
      <c r="K24" s="12">
        <f t="shared" si="6"/>
        <v>1947.9708333333333</v>
      </c>
      <c r="L24" s="13">
        <f t="shared" si="2"/>
        <v>23375.65</v>
      </c>
    </row>
    <row r="25" spans="1:12" ht="15.75" customHeight="1" x14ac:dyDescent="0.2">
      <c r="A25" s="1">
        <v>13000</v>
      </c>
      <c r="B25" s="5">
        <f t="shared" si="0"/>
        <v>390</v>
      </c>
      <c r="C25" s="14">
        <v>25</v>
      </c>
      <c r="D25" s="14">
        <f t="shared" si="1"/>
        <v>365</v>
      </c>
      <c r="E25" s="18">
        <f t="shared" si="3"/>
        <v>13390</v>
      </c>
      <c r="F25" s="1">
        <v>18</v>
      </c>
      <c r="G25" s="19">
        <v>4.4999999999999998E-2</v>
      </c>
      <c r="H25" s="6">
        <f t="shared" si="4"/>
        <v>1346.4388888888889</v>
      </c>
      <c r="I25" s="11">
        <f t="shared" si="7"/>
        <v>11.158333333333333</v>
      </c>
      <c r="J25" s="11">
        <v>12</v>
      </c>
      <c r="K25" s="12">
        <f t="shared" si="6"/>
        <v>1369.5972222222222</v>
      </c>
      <c r="L25" s="13">
        <f t="shared" si="2"/>
        <v>24652.75</v>
      </c>
    </row>
    <row r="26" spans="1:12" ht="15.75" customHeight="1" x14ac:dyDescent="0.2">
      <c r="A26" s="1">
        <v>14000</v>
      </c>
      <c r="B26" s="5">
        <f t="shared" si="0"/>
        <v>420</v>
      </c>
      <c r="C26" s="14">
        <v>25</v>
      </c>
      <c r="D26" s="14">
        <f t="shared" si="1"/>
        <v>395</v>
      </c>
      <c r="E26" s="18">
        <f t="shared" si="3"/>
        <v>14420</v>
      </c>
      <c r="F26" s="1">
        <v>6</v>
      </c>
      <c r="G26" s="19">
        <v>0.06</v>
      </c>
      <c r="H26" s="6">
        <f t="shared" si="4"/>
        <v>3268.5333333333333</v>
      </c>
      <c r="I26" s="11">
        <f t="shared" si="7"/>
        <v>36.049999999999997</v>
      </c>
      <c r="J26" s="11">
        <v>12</v>
      </c>
      <c r="K26" s="12">
        <f t="shared" si="6"/>
        <v>3316.5833333333335</v>
      </c>
      <c r="L26" s="13">
        <f t="shared" si="2"/>
        <v>19899.5</v>
      </c>
    </row>
    <row r="27" spans="1:12" ht="15.75" customHeight="1" x14ac:dyDescent="0.2">
      <c r="A27" s="1">
        <v>14000</v>
      </c>
      <c r="B27" s="5">
        <f t="shared" si="0"/>
        <v>420</v>
      </c>
      <c r="C27" s="14">
        <v>25</v>
      </c>
      <c r="D27" s="14">
        <f t="shared" si="1"/>
        <v>395</v>
      </c>
      <c r="E27" s="18">
        <f t="shared" si="3"/>
        <v>14420</v>
      </c>
      <c r="F27" s="1">
        <v>12</v>
      </c>
      <c r="G27" s="19">
        <v>0.06</v>
      </c>
      <c r="H27" s="6">
        <f t="shared" si="4"/>
        <v>2066.8666666666668</v>
      </c>
      <c r="I27" s="11">
        <f t="shared" si="7"/>
        <v>18.024999999999999</v>
      </c>
      <c r="J27" s="11">
        <v>12</v>
      </c>
      <c r="K27" s="12">
        <f t="shared" si="6"/>
        <v>2096.8916666666669</v>
      </c>
      <c r="L27" s="13">
        <f t="shared" si="2"/>
        <v>25162.700000000004</v>
      </c>
    </row>
    <row r="28" spans="1:12" ht="15.75" customHeight="1" x14ac:dyDescent="0.2">
      <c r="A28" s="1">
        <v>14000</v>
      </c>
      <c r="B28" s="5">
        <f t="shared" si="0"/>
        <v>420</v>
      </c>
      <c r="C28" s="14">
        <v>25</v>
      </c>
      <c r="D28" s="14">
        <f t="shared" si="1"/>
        <v>395</v>
      </c>
      <c r="E28" s="18">
        <f t="shared" si="3"/>
        <v>14420</v>
      </c>
      <c r="F28" s="1">
        <v>18</v>
      </c>
      <c r="G28" s="19">
        <v>4.4999999999999998E-2</v>
      </c>
      <c r="H28" s="6">
        <f t="shared" si="4"/>
        <v>1450.0111111111109</v>
      </c>
      <c r="I28" s="11">
        <f t="shared" si="7"/>
        <v>12.016666666666666</v>
      </c>
      <c r="J28" s="11">
        <v>12</v>
      </c>
      <c r="K28" s="12">
        <f t="shared" si="6"/>
        <v>1474.0277777777776</v>
      </c>
      <c r="L28" s="13">
        <f t="shared" si="2"/>
        <v>26532.499999999996</v>
      </c>
    </row>
    <row r="29" spans="1:12" ht="15.75" customHeight="1" x14ac:dyDescent="0.2">
      <c r="A29" s="1">
        <v>15000</v>
      </c>
      <c r="B29" s="5">
        <f t="shared" si="0"/>
        <v>450</v>
      </c>
      <c r="C29" s="14">
        <v>25</v>
      </c>
      <c r="D29" s="14">
        <f t="shared" si="1"/>
        <v>425</v>
      </c>
      <c r="E29" s="18">
        <f t="shared" si="3"/>
        <v>15450</v>
      </c>
      <c r="F29" s="1">
        <v>6</v>
      </c>
      <c r="G29" s="19">
        <v>0.06</v>
      </c>
      <c r="H29" s="6">
        <f t="shared" si="4"/>
        <v>3502</v>
      </c>
      <c r="I29" s="11">
        <f t="shared" si="7"/>
        <v>38.625</v>
      </c>
      <c r="J29" s="11">
        <v>12</v>
      </c>
      <c r="K29" s="12">
        <f t="shared" si="6"/>
        <v>3552.625</v>
      </c>
      <c r="L29" s="13">
        <f t="shared" si="2"/>
        <v>21315.75</v>
      </c>
    </row>
    <row r="30" spans="1:12" ht="15.75" customHeight="1" x14ac:dyDescent="0.2">
      <c r="A30" s="1">
        <v>15000</v>
      </c>
      <c r="B30" s="5">
        <f t="shared" si="0"/>
        <v>450</v>
      </c>
      <c r="C30" s="14">
        <v>25</v>
      </c>
      <c r="D30" s="14">
        <f t="shared" si="1"/>
        <v>425</v>
      </c>
      <c r="E30" s="18">
        <f t="shared" si="3"/>
        <v>15450</v>
      </c>
      <c r="F30" s="1">
        <v>12</v>
      </c>
      <c r="G30" s="19">
        <v>0.06</v>
      </c>
      <c r="H30" s="6">
        <f t="shared" si="4"/>
        <v>2214.5</v>
      </c>
      <c r="I30" s="11">
        <f t="shared" si="7"/>
        <v>19.3125</v>
      </c>
      <c r="J30" s="11">
        <v>12</v>
      </c>
      <c r="K30" s="12">
        <f t="shared" si="6"/>
        <v>2245.8125</v>
      </c>
      <c r="L30" s="13">
        <f t="shared" si="2"/>
        <v>26949.75</v>
      </c>
    </row>
    <row r="31" spans="1:12" ht="15.75" customHeight="1" x14ac:dyDescent="0.2">
      <c r="A31" s="1">
        <v>15000</v>
      </c>
      <c r="B31" s="5">
        <f t="shared" si="0"/>
        <v>450</v>
      </c>
      <c r="C31" s="14">
        <v>25</v>
      </c>
      <c r="D31" s="14">
        <f t="shared" si="1"/>
        <v>425</v>
      </c>
      <c r="E31" s="18">
        <f t="shared" si="3"/>
        <v>15450</v>
      </c>
      <c r="F31" s="1">
        <v>18</v>
      </c>
      <c r="G31" s="19">
        <v>4.4999999999999998E-2</v>
      </c>
      <c r="H31" s="6">
        <f t="shared" si="4"/>
        <v>1553.5833333333333</v>
      </c>
      <c r="I31" s="11">
        <f t="shared" si="7"/>
        <v>12.875</v>
      </c>
      <c r="J31" s="11">
        <v>12</v>
      </c>
      <c r="K31" s="12">
        <f t="shared" si="6"/>
        <v>1578.4583333333333</v>
      </c>
      <c r="L31" s="13">
        <f t="shared" si="2"/>
        <v>28412.25</v>
      </c>
    </row>
    <row r="32" spans="1:12" ht="15.75" customHeight="1" x14ac:dyDescent="0.2">
      <c r="A32" s="1">
        <v>16000</v>
      </c>
      <c r="B32" s="5">
        <f t="shared" si="0"/>
        <v>480</v>
      </c>
      <c r="C32" s="14">
        <v>25</v>
      </c>
      <c r="D32" s="14">
        <f t="shared" si="1"/>
        <v>455</v>
      </c>
      <c r="E32" s="18">
        <f t="shared" si="3"/>
        <v>16480</v>
      </c>
      <c r="F32" s="1">
        <v>6</v>
      </c>
      <c r="G32" s="19">
        <v>0.06</v>
      </c>
      <c r="H32" s="6">
        <f t="shared" si="4"/>
        <v>3735.4666666666667</v>
      </c>
      <c r="I32" s="11">
        <f t="shared" si="7"/>
        <v>41.199999999999996</v>
      </c>
      <c r="J32" s="11">
        <v>12</v>
      </c>
      <c r="K32" s="12">
        <f t="shared" si="6"/>
        <v>3788.6666666666665</v>
      </c>
      <c r="L32" s="13">
        <f t="shared" si="2"/>
        <v>22732</v>
      </c>
    </row>
    <row r="33" spans="1:12" ht="15.75" customHeight="1" x14ac:dyDescent="0.2">
      <c r="A33" s="1">
        <v>16000</v>
      </c>
      <c r="B33" s="5">
        <f t="shared" si="0"/>
        <v>480</v>
      </c>
      <c r="C33" s="14">
        <v>25</v>
      </c>
      <c r="D33" s="14">
        <f t="shared" si="1"/>
        <v>455</v>
      </c>
      <c r="E33" s="18">
        <f t="shared" si="3"/>
        <v>16480</v>
      </c>
      <c r="F33" s="1">
        <v>12</v>
      </c>
      <c r="G33" s="19">
        <v>0.06</v>
      </c>
      <c r="H33" s="6">
        <f t="shared" si="4"/>
        <v>2362.1333333333332</v>
      </c>
      <c r="I33" s="11">
        <f t="shared" si="7"/>
        <v>20.599999999999998</v>
      </c>
      <c r="J33" s="11">
        <v>12</v>
      </c>
      <c r="K33" s="12">
        <f t="shared" si="6"/>
        <v>2394.7333333333331</v>
      </c>
      <c r="L33" s="13">
        <f t="shared" si="2"/>
        <v>28736.799999999996</v>
      </c>
    </row>
    <row r="34" spans="1:12" ht="15.75" customHeight="1" x14ac:dyDescent="0.2">
      <c r="A34" s="1">
        <v>16000</v>
      </c>
      <c r="B34" s="5">
        <f t="shared" si="0"/>
        <v>480</v>
      </c>
      <c r="C34" s="14">
        <v>25</v>
      </c>
      <c r="D34" s="14">
        <f t="shared" si="1"/>
        <v>455</v>
      </c>
      <c r="E34" s="18">
        <f t="shared" si="3"/>
        <v>16480</v>
      </c>
      <c r="F34" s="1">
        <v>18</v>
      </c>
      <c r="G34" s="19">
        <v>4.4999999999999998E-2</v>
      </c>
      <c r="H34" s="6">
        <f t="shared" si="4"/>
        <v>1657.1555555555558</v>
      </c>
      <c r="I34" s="11">
        <f t="shared" si="7"/>
        <v>13.733333333333333</v>
      </c>
      <c r="J34" s="11">
        <v>12</v>
      </c>
      <c r="K34" s="12">
        <f t="shared" si="6"/>
        <v>1682.8888888888891</v>
      </c>
      <c r="L34" s="13">
        <f t="shared" si="2"/>
        <v>30292.000000000004</v>
      </c>
    </row>
    <row r="35" spans="1:12" ht="15.75" customHeight="1" x14ac:dyDescent="0.2">
      <c r="A35" s="1">
        <v>16000</v>
      </c>
      <c r="B35" s="5">
        <f t="shared" si="0"/>
        <v>480</v>
      </c>
      <c r="C35" s="14">
        <v>25</v>
      </c>
      <c r="D35" s="14">
        <f t="shared" si="1"/>
        <v>455</v>
      </c>
      <c r="E35" s="18">
        <f t="shared" si="3"/>
        <v>16480</v>
      </c>
      <c r="F35" s="1">
        <v>24</v>
      </c>
      <c r="G35" s="19">
        <v>0.04</v>
      </c>
      <c r="H35" s="6">
        <f t="shared" si="4"/>
        <v>1345.8666666666668</v>
      </c>
      <c r="I35" s="11">
        <f t="shared" si="7"/>
        <v>10.299999999999999</v>
      </c>
      <c r="J35" s="11">
        <v>12</v>
      </c>
      <c r="K35" s="12">
        <f t="shared" si="6"/>
        <v>1368.1666666666667</v>
      </c>
      <c r="L35" s="13">
        <f t="shared" si="2"/>
        <v>32836</v>
      </c>
    </row>
    <row r="36" spans="1:12" ht="15.75" customHeight="1" x14ac:dyDescent="0.2">
      <c r="A36" s="1">
        <v>17000</v>
      </c>
      <c r="B36" s="5">
        <f t="shared" si="0"/>
        <v>510</v>
      </c>
      <c r="C36" s="14">
        <v>25</v>
      </c>
      <c r="D36" s="14">
        <f t="shared" si="1"/>
        <v>485</v>
      </c>
      <c r="E36" s="18">
        <f t="shared" si="3"/>
        <v>17510</v>
      </c>
      <c r="F36" s="1">
        <v>6</v>
      </c>
      <c r="G36" s="19">
        <v>0.06</v>
      </c>
      <c r="H36" s="6">
        <f t="shared" si="4"/>
        <v>3968.9333333333329</v>
      </c>
      <c r="I36" s="11">
        <f t="shared" si="7"/>
        <v>43.774999999999999</v>
      </c>
      <c r="J36" s="11">
        <v>12</v>
      </c>
      <c r="K36" s="12">
        <f t="shared" si="6"/>
        <v>4024.708333333333</v>
      </c>
      <c r="L36" s="13">
        <f t="shared" si="2"/>
        <v>24148.25</v>
      </c>
    </row>
    <row r="37" spans="1:12" ht="15.75" customHeight="1" x14ac:dyDescent="0.2">
      <c r="A37" s="1">
        <v>17000</v>
      </c>
      <c r="B37" s="5">
        <f t="shared" si="0"/>
        <v>510</v>
      </c>
      <c r="C37" s="14">
        <v>25</v>
      </c>
      <c r="D37" s="14">
        <f t="shared" si="1"/>
        <v>485</v>
      </c>
      <c r="E37" s="18">
        <f t="shared" si="3"/>
        <v>17510</v>
      </c>
      <c r="F37" s="1">
        <v>12</v>
      </c>
      <c r="G37" s="19">
        <v>0.06</v>
      </c>
      <c r="H37" s="6">
        <f t="shared" si="4"/>
        <v>2509.7666666666664</v>
      </c>
      <c r="I37" s="11">
        <f t="shared" si="7"/>
        <v>21.887499999999999</v>
      </c>
      <c r="J37" s="11">
        <v>12</v>
      </c>
      <c r="K37" s="12">
        <f t="shared" si="6"/>
        <v>2543.6541666666662</v>
      </c>
      <c r="L37" s="13">
        <f t="shared" si="2"/>
        <v>30523.849999999995</v>
      </c>
    </row>
    <row r="38" spans="1:12" ht="15.75" customHeight="1" x14ac:dyDescent="0.2">
      <c r="A38" s="1">
        <v>17000</v>
      </c>
      <c r="B38" s="5">
        <f t="shared" si="0"/>
        <v>510</v>
      </c>
      <c r="C38" s="14">
        <v>25</v>
      </c>
      <c r="D38" s="14">
        <f t="shared" si="1"/>
        <v>485</v>
      </c>
      <c r="E38" s="18">
        <f t="shared" si="3"/>
        <v>17510</v>
      </c>
      <c r="F38" s="1">
        <v>18</v>
      </c>
      <c r="G38" s="19">
        <v>4.4999999999999998E-2</v>
      </c>
      <c r="H38" s="6">
        <f t="shared" si="4"/>
        <v>1760.7277777777776</v>
      </c>
      <c r="I38" s="11">
        <f t="shared" si="7"/>
        <v>14.591666666666665</v>
      </c>
      <c r="J38" s="11">
        <v>12</v>
      </c>
      <c r="K38" s="12">
        <f t="shared" si="6"/>
        <v>1787.3194444444443</v>
      </c>
      <c r="L38" s="13">
        <f t="shared" si="2"/>
        <v>32171.75</v>
      </c>
    </row>
    <row r="39" spans="1:12" ht="15.75" customHeight="1" x14ac:dyDescent="0.2">
      <c r="A39" s="1">
        <v>17000</v>
      </c>
      <c r="B39" s="5">
        <f t="shared" si="0"/>
        <v>510</v>
      </c>
      <c r="C39" s="14">
        <v>25</v>
      </c>
      <c r="D39" s="14">
        <f t="shared" si="1"/>
        <v>485</v>
      </c>
      <c r="E39" s="18">
        <f t="shared" si="3"/>
        <v>17510</v>
      </c>
      <c r="F39" s="1">
        <v>24</v>
      </c>
      <c r="G39" s="19">
        <v>0.04</v>
      </c>
      <c r="H39" s="6">
        <f t="shared" si="4"/>
        <v>1429.9833333333333</v>
      </c>
      <c r="I39" s="11">
        <f t="shared" si="7"/>
        <v>10.94375</v>
      </c>
      <c r="J39" s="11">
        <v>12</v>
      </c>
      <c r="K39" s="12">
        <f t="shared" si="6"/>
        <v>1452.9270833333333</v>
      </c>
      <c r="L39" s="13">
        <f t="shared" si="2"/>
        <v>34870.25</v>
      </c>
    </row>
    <row r="40" spans="1:12" ht="15.75" customHeight="1" x14ac:dyDescent="0.2">
      <c r="A40" s="1">
        <v>18000</v>
      </c>
      <c r="B40" s="5">
        <f t="shared" si="0"/>
        <v>540</v>
      </c>
      <c r="C40" s="14">
        <v>25</v>
      </c>
      <c r="D40" s="14">
        <f t="shared" si="1"/>
        <v>515</v>
      </c>
      <c r="E40" s="18">
        <f t="shared" si="3"/>
        <v>18540</v>
      </c>
      <c r="F40" s="1">
        <v>6</v>
      </c>
      <c r="G40" s="19">
        <v>0.06</v>
      </c>
      <c r="H40" s="6">
        <f t="shared" si="4"/>
        <v>4202.4000000000005</v>
      </c>
      <c r="I40" s="11">
        <f t="shared" si="7"/>
        <v>46.349999999999994</v>
      </c>
      <c r="J40" s="11">
        <v>12</v>
      </c>
      <c r="K40" s="12">
        <f t="shared" si="6"/>
        <v>4260.7500000000009</v>
      </c>
      <c r="L40" s="13">
        <f t="shared" si="2"/>
        <v>25564.500000000007</v>
      </c>
    </row>
    <row r="41" spans="1:12" ht="15.75" customHeight="1" x14ac:dyDescent="0.2">
      <c r="A41" s="1">
        <v>18000</v>
      </c>
      <c r="B41" s="5">
        <f t="shared" si="0"/>
        <v>540</v>
      </c>
      <c r="C41" s="14">
        <v>25</v>
      </c>
      <c r="D41" s="14">
        <f t="shared" si="1"/>
        <v>515</v>
      </c>
      <c r="E41" s="18">
        <f t="shared" si="3"/>
        <v>18540</v>
      </c>
      <c r="F41" s="1">
        <v>12</v>
      </c>
      <c r="G41" s="19">
        <v>0.06</v>
      </c>
      <c r="H41" s="6">
        <f t="shared" si="4"/>
        <v>2657.4</v>
      </c>
      <c r="I41" s="11">
        <f t="shared" si="7"/>
        <v>23.174999999999997</v>
      </c>
      <c r="J41" s="11">
        <v>12</v>
      </c>
      <c r="K41" s="12">
        <f t="shared" si="6"/>
        <v>2692.5750000000003</v>
      </c>
      <c r="L41" s="13">
        <f t="shared" si="2"/>
        <v>32310.9</v>
      </c>
    </row>
    <row r="42" spans="1:12" ht="15.75" customHeight="1" x14ac:dyDescent="0.2">
      <c r="A42" s="1">
        <v>18000</v>
      </c>
      <c r="B42" s="5">
        <f t="shared" si="0"/>
        <v>540</v>
      </c>
      <c r="C42" s="14">
        <v>25</v>
      </c>
      <c r="D42" s="14">
        <f t="shared" si="1"/>
        <v>515</v>
      </c>
      <c r="E42" s="18">
        <f t="shared" si="3"/>
        <v>18540</v>
      </c>
      <c r="F42" s="1">
        <v>18</v>
      </c>
      <c r="G42" s="19">
        <v>4.4999999999999998E-2</v>
      </c>
      <c r="H42" s="6">
        <f t="shared" si="4"/>
        <v>1864.3000000000002</v>
      </c>
      <c r="I42" s="11">
        <f t="shared" si="7"/>
        <v>15.449999999999998</v>
      </c>
      <c r="J42" s="11">
        <v>12</v>
      </c>
      <c r="K42" s="12">
        <f t="shared" si="6"/>
        <v>1891.7500000000002</v>
      </c>
      <c r="L42" s="13">
        <f t="shared" si="2"/>
        <v>34051.500000000007</v>
      </c>
    </row>
    <row r="43" spans="1:12" ht="15.75" customHeight="1" x14ac:dyDescent="0.2">
      <c r="A43" s="1">
        <v>18000</v>
      </c>
      <c r="B43" s="5">
        <f t="shared" si="0"/>
        <v>540</v>
      </c>
      <c r="C43" s="14">
        <v>25</v>
      </c>
      <c r="D43" s="14">
        <f t="shared" si="1"/>
        <v>515</v>
      </c>
      <c r="E43" s="18">
        <f t="shared" si="3"/>
        <v>18540</v>
      </c>
      <c r="F43" s="1">
        <v>24</v>
      </c>
      <c r="G43" s="19">
        <v>0.04</v>
      </c>
      <c r="H43" s="6">
        <f t="shared" si="4"/>
        <v>1514.1000000000001</v>
      </c>
      <c r="I43" s="11">
        <f t="shared" si="7"/>
        <v>11.587499999999999</v>
      </c>
      <c r="J43" s="11">
        <v>12</v>
      </c>
      <c r="K43" s="12">
        <f t="shared" si="6"/>
        <v>1537.6875000000002</v>
      </c>
      <c r="L43" s="13">
        <f t="shared" si="2"/>
        <v>36904.500000000007</v>
      </c>
    </row>
    <row r="44" spans="1:12" ht="15.75" customHeight="1" x14ac:dyDescent="0.2">
      <c r="A44" s="1">
        <v>19000</v>
      </c>
      <c r="B44" s="5">
        <f t="shared" si="0"/>
        <v>570</v>
      </c>
      <c r="C44" s="14">
        <v>25</v>
      </c>
      <c r="D44" s="14">
        <f t="shared" si="1"/>
        <v>545</v>
      </c>
      <c r="E44" s="18">
        <f t="shared" si="3"/>
        <v>19570</v>
      </c>
      <c r="F44" s="1">
        <v>6</v>
      </c>
      <c r="G44" s="19">
        <v>0.06</v>
      </c>
      <c r="H44" s="6">
        <f t="shared" si="4"/>
        <v>4435.8666666666668</v>
      </c>
      <c r="I44" s="11">
        <f t="shared" ref="I44:I70" si="8">(0.015*E44)/F44</f>
        <v>48.925000000000004</v>
      </c>
      <c r="J44" s="11">
        <v>12</v>
      </c>
      <c r="K44" s="12">
        <f t="shared" si="6"/>
        <v>4496.791666666667</v>
      </c>
      <c r="L44" s="13">
        <f t="shared" si="2"/>
        <v>26980.75</v>
      </c>
    </row>
    <row r="45" spans="1:12" ht="15.75" customHeight="1" x14ac:dyDescent="0.2">
      <c r="A45" s="1">
        <v>19000</v>
      </c>
      <c r="B45" s="5">
        <f t="shared" ref="B45:B83" si="9">0.03*A45</f>
        <v>570</v>
      </c>
      <c r="C45" s="14">
        <v>25</v>
      </c>
      <c r="D45" s="14">
        <f t="shared" ref="D45:D83" si="10">B45-C45</f>
        <v>545</v>
      </c>
      <c r="E45" s="18">
        <f t="shared" ref="E45:E83" si="11">A45+B45</f>
        <v>19570</v>
      </c>
      <c r="F45" s="1">
        <v>12</v>
      </c>
      <c r="G45" s="19">
        <v>0.06</v>
      </c>
      <c r="H45" s="6">
        <f t="shared" ref="H45:H83" si="12">(((G45*E45*F45)+E45)/F45)</f>
        <v>2805.0333333333333</v>
      </c>
      <c r="I45" s="11">
        <f t="shared" si="8"/>
        <v>24.462500000000002</v>
      </c>
      <c r="J45" s="11">
        <v>12</v>
      </c>
      <c r="K45" s="12">
        <f t="shared" ref="K45:K83" si="13">I45+H45+J45</f>
        <v>2841.4958333333334</v>
      </c>
      <c r="L45" s="13">
        <f t="shared" ref="L45:L82" si="14">K45*F45</f>
        <v>34097.949999999997</v>
      </c>
    </row>
    <row r="46" spans="1:12" ht="15.75" customHeight="1" x14ac:dyDescent="0.2">
      <c r="A46" s="1">
        <v>19000</v>
      </c>
      <c r="B46" s="5">
        <f t="shared" si="9"/>
        <v>570</v>
      </c>
      <c r="C46" s="14">
        <v>25</v>
      </c>
      <c r="D46" s="14">
        <f t="shared" si="10"/>
        <v>545</v>
      </c>
      <c r="E46" s="18">
        <f t="shared" si="11"/>
        <v>19570</v>
      </c>
      <c r="F46" s="1">
        <v>18</v>
      </c>
      <c r="G46" s="19">
        <v>4.4999999999999998E-2</v>
      </c>
      <c r="H46" s="6">
        <f t="shared" si="12"/>
        <v>1967.872222222222</v>
      </c>
      <c r="I46" s="11">
        <f t="shared" si="8"/>
        <v>16.308333333333334</v>
      </c>
      <c r="J46" s="11">
        <v>12</v>
      </c>
      <c r="K46" s="12">
        <f t="shared" si="13"/>
        <v>1996.1805555555554</v>
      </c>
      <c r="L46" s="13">
        <f t="shared" si="14"/>
        <v>35931.25</v>
      </c>
    </row>
    <row r="47" spans="1:12" ht="15.75" customHeight="1" x14ac:dyDescent="0.2">
      <c r="A47" s="1">
        <v>19000</v>
      </c>
      <c r="B47" s="5">
        <f t="shared" si="9"/>
        <v>570</v>
      </c>
      <c r="C47" s="14">
        <v>25</v>
      </c>
      <c r="D47" s="14">
        <f t="shared" si="10"/>
        <v>545</v>
      </c>
      <c r="E47" s="18">
        <f t="shared" si="11"/>
        <v>19570</v>
      </c>
      <c r="F47" s="1">
        <v>24</v>
      </c>
      <c r="G47" s="19">
        <v>0.04</v>
      </c>
      <c r="H47" s="6">
        <f t="shared" si="12"/>
        <v>1598.2166666666665</v>
      </c>
      <c r="I47" s="11">
        <f t="shared" si="8"/>
        <v>12.231250000000001</v>
      </c>
      <c r="J47" s="11">
        <v>12</v>
      </c>
      <c r="K47" s="12">
        <f t="shared" si="13"/>
        <v>1622.4479166666665</v>
      </c>
      <c r="L47" s="13">
        <f t="shared" si="14"/>
        <v>38938.75</v>
      </c>
    </row>
    <row r="48" spans="1:12" ht="15.75" customHeight="1" x14ac:dyDescent="0.2">
      <c r="A48" s="1">
        <v>20000</v>
      </c>
      <c r="B48" s="5">
        <f t="shared" si="9"/>
        <v>600</v>
      </c>
      <c r="C48" s="14">
        <v>25</v>
      </c>
      <c r="D48" s="14">
        <f t="shared" si="10"/>
        <v>575</v>
      </c>
      <c r="E48" s="18">
        <f t="shared" si="11"/>
        <v>20600</v>
      </c>
      <c r="F48" s="1">
        <v>6</v>
      </c>
      <c r="G48" s="19">
        <v>0.06</v>
      </c>
      <c r="H48" s="6">
        <f t="shared" si="12"/>
        <v>4669.333333333333</v>
      </c>
      <c r="I48" s="11">
        <f t="shared" si="8"/>
        <v>51.5</v>
      </c>
      <c r="J48" s="11">
        <v>12</v>
      </c>
      <c r="K48" s="12">
        <f t="shared" si="13"/>
        <v>4732.833333333333</v>
      </c>
      <c r="L48" s="13">
        <f t="shared" si="14"/>
        <v>28397</v>
      </c>
    </row>
    <row r="49" spans="1:12" ht="15.75" customHeight="1" x14ac:dyDescent="0.2">
      <c r="A49" s="1">
        <v>20000</v>
      </c>
      <c r="B49" s="5">
        <f t="shared" si="9"/>
        <v>600</v>
      </c>
      <c r="C49" s="14">
        <v>25</v>
      </c>
      <c r="D49" s="14">
        <f t="shared" si="10"/>
        <v>575</v>
      </c>
      <c r="E49" s="18">
        <f t="shared" si="11"/>
        <v>20600</v>
      </c>
      <c r="F49" s="1">
        <v>12</v>
      </c>
      <c r="G49" s="19">
        <v>0.06</v>
      </c>
      <c r="H49" s="6">
        <f t="shared" si="12"/>
        <v>2952.6666666666665</v>
      </c>
      <c r="I49" s="11">
        <f t="shared" si="8"/>
        <v>25.75</v>
      </c>
      <c r="J49" s="11">
        <v>12</v>
      </c>
      <c r="K49" s="12">
        <f t="shared" si="13"/>
        <v>2990.4166666666665</v>
      </c>
      <c r="L49" s="13">
        <f t="shared" si="14"/>
        <v>35885</v>
      </c>
    </row>
    <row r="50" spans="1:12" ht="15.75" customHeight="1" x14ac:dyDescent="0.2">
      <c r="A50" s="1">
        <v>20000</v>
      </c>
      <c r="B50" s="5">
        <f t="shared" si="9"/>
        <v>600</v>
      </c>
      <c r="C50" s="14">
        <v>25</v>
      </c>
      <c r="D50" s="14">
        <f t="shared" si="10"/>
        <v>575</v>
      </c>
      <c r="E50" s="18">
        <f t="shared" si="11"/>
        <v>20600</v>
      </c>
      <c r="F50" s="1">
        <v>18</v>
      </c>
      <c r="G50" s="19">
        <v>4.4999999999999998E-2</v>
      </c>
      <c r="H50" s="6">
        <f t="shared" si="12"/>
        <v>2071.4444444444443</v>
      </c>
      <c r="I50" s="11">
        <f t="shared" si="8"/>
        <v>17.166666666666668</v>
      </c>
      <c r="J50" s="11">
        <v>12</v>
      </c>
      <c r="K50" s="12">
        <f t="shared" si="13"/>
        <v>2100.6111111111109</v>
      </c>
      <c r="L50" s="13">
        <f t="shared" si="14"/>
        <v>37810.999999999993</v>
      </c>
    </row>
    <row r="51" spans="1:12" ht="15.75" customHeight="1" x14ac:dyDescent="0.2">
      <c r="A51" s="1">
        <v>20000</v>
      </c>
      <c r="B51" s="5">
        <f t="shared" si="9"/>
        <v>600</v>
      </c>
      <c r="C51" s="14">
        <v>25</v>
      </c>
      <c r="D51" s="14">
        <f t="shared" si="10"/>
        <v>575</v>
      </c>
      <c r="E51" s="18">
        <f t="shared" si="11"/>
        <v>20600</v>
      </c>
      <c r="F51" s="1">
        <v>24</v>
      </c>
      <c r="G51" s="19">
        <v>0.04</v>
      </c>
      <c r="H51" s="6">
        <f t="shared" si="12"/>
        <v>1682.3333333333333</v>
      </c>
      <c r="I51" s="11">
        <f t="shared" si="8"/>
        <v>12.875</v>
      </c>
      <c r="J51" s="11">
        <v>12</v>
      </c>
      <c r="K51" s="12">
        <f t="shared" si="13"/>
        <v>1707.2083333333333</v>
      </c>
      <c r="L51" s="13">
        <f t="shared" si="14"/>
        <v>40973</v>
      </c>
    </row>
    <row r="52" spans="1:12" ht="15.75" customHeight="1" x14ac:dyDescent="0.2">
      <c r="A52" s="1">
        <v>25000</v>
      </c>
      <c r="B52" s="5">
        <f t="shared" si="9"/>
        <v>750</v>
      </c>
      <c r="C52" s="14">
        <v>25</v>
      </c>
      <c r="D52" s="14">
        <f t="shared" si="10"/>
        <v>725</v>
      </c>
      <c r="E52" s="18">
        <f t="shared" si="11"/>
        <v>25750</v>
      </c>
      <c r="F52" s="1">
        <v>6</v>
      </c>
      <c r="G52" s="19">
        <v>0.06</v>
      </c>
      <c r="H52" s="6">
        <f t="shared" si="12"/>
        <v>5836.666666666667</v>
      </c>
      <c r="I52" s="11">
        <f t="shared" si="8"/>
        <v>64.375</v>
      </c>
      <c r="J52" s="11">
        <v>12</v>
      </c>
      <c r="K52" s="12">
        <f t="shared" si="13"/>
        <v>5913.041666666667</v>
      </c>
      <c r="L52" s="13">
        <f t="shared" si="14"/>
        <v>35478.25</v>
      </c>
    </row>
    <row r="53" spans="1:12" ht="15.75" customHeight="1" x14ac:dyDescent="0.2">
      <c r="A53" s="1">
        <v>25000</v>
      </c>
      <c r="B53" s="5">
        <f t="shared" si="9"/>
        <v>750</v>
      </c>
      <c r="C53" s="14">
        <v>25</v>
      </c>
      <c r="D53" s="14">
        <f t="shared" si="10"/>
        <v>725</v>
      </c>
      <c r="E53" s="18">
        <f t="shared" si="11"/>
        <v>25750</v>
      </c>
      <c r="F53" s="1">
        <v>12</v>
      </c>
      <c r="G53" s="19">
        <v>0.06</v>
      </c>
      <c r="H53" s="6">
        <f t="shared" si="12"/>
        <v>3690.8333333333335</v>
      </c>
      <c r="I53" s="11">
        <f t="shared" si="8"/>
        <v>32.1875</v>
      </c>
      <c r="J53" s="11">
        <v>12</v>
      </c>
      <c r="K53" s="12">
        <f t="shared" si="13"/>
        <v>3735.0208333333335</v>
      </c>
      <c r="L53" s="13">
        <f t="shared" si="14"/>
        <v>44820.25</v>
      </c>
    </row>
    <row r="54" spans="1:12" ht="15.75" customHeight="1" x14ac:dyDescent="0.2">
      <c r="A54" s="1">
        <v>25000</v>
      </c>
      <c r="B54" s="5">
        <f t="shared" si="9"/>
        <v>750</v>
      </c>
      <c r="C54" s="14">
        <v>25</v>
      </c>
      <c r="D54" s="14">
        <f t="shared" si="10"/>
        <v>725</v>
      </c>
      <c r="E54" s="18">
        <f t="shared" si="11"/>
        <v>25750</v>
      </c>
      <c r="F54" s="1">
        <v>18</v>
      </c>
      <c r="G54" s="19">
        <v>4.4999999999999998E-2</v>
      </c>
      <c r="H54" s="6">
        <f t="shared" si="12"/>
        <v>2589.3055555555557</v>
      </c>
      <c r="I54" s="11">
        <f t="shared" si="8"/>
        <v>21.458333333333332</v>
      </c>
      <c r="J54" s="11">
        <v>12</v>
      </c>
      <c r="K54" s="12">
        <f t="shared" si="13"/>
        <v>2622.7638888888891</v>
      </c>
      <c r="L54" s="13">
        <f t="shared" si="14"/>
        <v>47209.750000000007</v>
      </c>
    </row>
    <row r="55" spans="1:12" ht="15.75" customHeight="1" x14ac:dyDescent="0.2">
      <c r="A55" s="1">
        <v>25000</v>
      </c>
      <c r="B55" s="5">
        <f t="shared" si="9"/>
        <v>750</v>
      </c>
      <c r="C55" s="14">
        <v>25</v>
      </c>
      <c r="D55" s="14">
        <f t="shared" si="10"/>
        <v>725</v>
      </c>
      <c r="E55" s="18">
        <f t="shared" si="11"/>
        <v>25750</v>
      </c>
      <c r="F55" s="1">
        <v>24</v>
      </c>
      <c r="G55" s="19">
        <v>0.04</v>
      </c>
      <c r="H55" s="6">
        <f t="shared" si="12"/>
        <v>2102.9166666666665</v>
      </c>
      <c r="I55" s="11">
        <f t="shared" si="8"/>
        <v>16.09375</v>
      </c>
      <c r="J55" s="11">
        <v>12</v>
      </c>
      <c r="K55" s="12">
        <f t="shared" si="13"/>
        <v>2131.0104166666665</v>
      </c>
      <c r="L55" s="13">
        <f t="shared" si="14"/>
        <v>51144.25</v>
      </c>
    </row>
    <row r="56" spans="1:12" ht="15.75" customHeight="1" x14ac:dyDescent="0.2">
      <c r="A56" s="1">
        <v>25000</v>
      </c>
      <c r="B56" s="5">
        <f t="shared" si="9"/>
        <v>750</v>
      </c>
      <c r="C56" s="14">
        <v>25</v>
      </c>
      <c r="D56" s="14">
        <f t="shared" si="10"/>
        <v>725</v>
      </c>
      <c r="E56" s="18">
        <f t="shared" si="11"/>
        <v>25750</v>
      </c>
      <c r="F56" s="1">
        <v>36</v>
      </c>
      <c r="G56" s="19">
        <v>2.75E-2</v>
      </c>
      <c r="H56" s="6">
        <f t="shared" si="12"/>
        <v>1423.4027777777778</v>
      </c>
      <c r="I56" s="11">
        <f t="shared" si="8"/>
        <v>10.729166666666666</v>
      </c>
      <c r="J56" s="11">
        <v>12</v>
      </c>
      <c r="K56" s="12">
        <f t="shared" si="13"/>
        <v>1446.1319444444446</v>
      </c>
      <c r="L56" s="13">
        <f t="shared" si="14"/>
        <v>52060.750000000007</v>
      </c>
    </row>
    <row r="57" spans="1:12" ht="15.75" customHeight="1" x14ac:dyDescent="0.2">
      <c r="A57" s="1">
        <v>30000</v>
      </c>
      <c r="B57" s="5">
        <f t="shared" si="9"/>
        <v>900</v>
      </c>
      <c r="C57" s="14">
        <v>25</v>
      </c>
      <c r="D57" s="14">
        <f t="shared" si="10"/>
        <v>875</v>
      </c>
      <c r="E57" s="18">
        <f t="shared" si="11"/>
        <v>30900</v>
      </c>
      <c r="F57" s="1">
        <v>6</v>
      </c>
      <c r="G57" s="19">
        <v>0.06</v>
      </c>
      <c r="H57" s="6">
        <f t="shared" si="12"/>
        <v>7004</v>
      </c>
      <c r="I57" s="11">
        <f t="shared" si="8"/>
        <v>77.25</v>
      </c>
      <c r="J57" s="11">
        <v>12</v>
      </c>
      <c r="K57" s="12">
        <f t="shared" si="13"/>
        <v>7093.25</v>
      </c>
      <c r="L57" s="13">
        <f t="shared" si="14"/>
        <v>42559.5</v>
      </c>
    </row>
    <row r="58" spans="1:12" ht="15.75" customHeight="1" x14ac:dyDescent="0.2">
      <c r="A58" s="1">
        <v>30000</v>
      </c>
      <c r="B58" s="5">
        <f t="shared" si="9"/>
        <v>900</v>
      </c>
      <c r="C58" s="14">
        <v>25</v>
      </c>
      <c r="D58" s="14">
        <f t="shared" si="10"/>
        <v>875</v>
      </c>
      <c r="E58" s="18">
        <f t="shared" si="11"/>
        <v>30900</v>
      </c>
      <c r="F58" s="1">
        <v>12</v>
      </c>
      <c r="G58" s="19">
        <v>0.06</v>
      </c>
      <c r="H58" s="6">
        <f t="shared" si="12"/>
        <v>4429</v>
      </c>
      <c r="I58" s="11">
        <f t="shared" si="8"/>
        <v>38.625</v>
      </c>
      <c r="J58" s="11">
        <v>12</v>
      </c>
      <c r="K58" s="12">
        <f t="shared" si="13"/>
        <v>4479.625</v>
      </c>
      <c r="L58" s="13">
        <f t="shared" si="14"/>
        <v>53755.5</v>
      </c>
    </row>
    <row r="59" spans="1:12" ht="15.75" customHeight="1" x14ac:dyDescent="0.2">
      <c r="A59" s="1">
        <v>30000</v>
      </c>
      <c r="B59" s="5">
        <f t="shared" si="9"/>
        <v>900</v>
      </c>
      <c r="C59" s="14">
        <v>25</v>
      </c>
      <c r="D59" s="14">
        <f t="shared" si="10"/>
        <v>875</v>
      </c>
      <c r="E59" s="18">
        <f t="shared" si="11"/>
        <v>30900</v>
      </c>
      <c r="F59" s="1">
        <v>18</v>
      </c>
      <c r="G59" s="19">
        <v>4.4999999999999998E-2</v>
      </c>
      <c r="H59" s="6">
        <f t="shared" si="12"/>
        <v>3107.1666666666665</v>
      </c>
      <c r="I59" s="11">
        <f t="shared" si="8"/>
        <v>25.75</v>
      </c>
      <c r="J59" s="11">
        <v>12</v>
      </c>
      <c r="K59" s="12">
        <f t="shared" si="13"/>
        <v>3144.9166666666665</v>
      </c>
      <c r="L59" s="13">
        <f t="shared" si="14"/>
        <v>56608.5</v>
      </c>
    </row>
    <row r="60" spans="1:12" ht="15.75" customHeight="1" x14ac:dyDescent="0.2">
      <c r="A60" s="1">
        <v>30000</v>
      </c>
      <c r="B60" s="5">
        <f t="shared" si="9"/>
        <v>900</v>
      </c>
      <c r="C60" s="14">
        <v>25</v>
      </c>
      <c r="D60" s="14">
        <f t="shared" si="10"/>
        <v>875</v>
      </c>
      <c r="E60" s="18">
        <f t="shared" si="11"/>
        <v>30900</v>
      </c>
      <c r="F60" s="1">
        <v>24</v>
      </c>
      <c r="G60" s="19">
        <v>0.04</v>
      </c>
      <c r="H60" s="6">
        <f t="shared" si="12"/>
        <v>2523.5</v>
      </c>
      <c r="I60" s="11">
        <f t="shared" si="8"/>
        <v>19.3125</v>
      </c>
      <c r="J60" s="11">
        <v>12</v>
      </c>
      <c r="K60" s="12">
        <f t="shared" si="13"/>
        <v>2554.8125</v>
      </c>
      <c r="L60" s="13">
        <f t="shared" si="14"/>
        <v>61315.5</v>
      </c>
    </row>
    <row r="61" spans="1:12" ht="15.75" customHeight="1" x14ac:dyDescent="0.2">
      <c r="A61" s="1">
        <v>30000</v>
      </c>
      <c r="B61" s="5">
        <f t="shared" si="9"/>
        <v>900</v>
      </c>
      <c r="C61" s="14">
        <v>25</v>
      </c>
      <c r="D61" s="14">
        <f t="shared" si="10"/>
        <v>875</v>
      </c>
      <c r="E61" s="18">
        <f t="shared" si="11"/>
        <v>30900</v>
      </c>
      <c r="F61" s="1">
        <v>36</v>
      </c>
      <c r="G61" s="19">
        <v>2.75E-2</v>
      </c>
      <c r="H61" s="6">
        <f t="shared" si="12"/>
        <v>1708.0833333333333</v>
      </c>
      <c r="I61" s="11">
        <f t="shared" si="8"/>
        <v>12.875</v>
      </c>
      <c r="J61" s="11">
        <v>12</v>
      </c>
      <c r="K61" s="12">
        <f t="shared" si="13"/>
        <v>1732.9583333333333</v>
      </c>
      <c r="L61" s="13">
        <f t="shared" si="14"/>
        <v>62386.5</v>
      </c>
    </row>
    <row r="62" spans="1:12" ht="15.75" customHeight="1" x14ac:dyDescent="0.2">
      <c r="A62" s="1">
        <v>35000</v>
      </c>
      <c r="B62" s="5">
        <f t="shared" si="9"/>
        <v>1050</v>
      </c>
      <c r="C62" s="14">
        <v>25</v>
      </c>
      <c r="D62" s="14">
        <f t="shared" si="10"/>
        <v>1025</v>
      </c>
      <c r="E62" s="18">
        <f t="shared" si="11"/>
        <v>36050</v>
      </c>
      <c r="F62" s="1">
        <v>6</v>
      </c>
      <c r="G62" s="19">
        <v>0.06</v>
      </c>
      <c r="H62" s="6">
        <f t="shared" si="12"/>
        <v>8171.333333333333</v>
      </c>
      <c r="I62" s="11">
        <f t="shared" si="8"/>
        <v>90.125</v>
      </c>
      <c r="J62" s="11">
        <v>12</v>
      </c>
      <c r="K62" s="12">
        <f t="shared" si="13"/>
        <v>8273.4583333333321</v>
      </c>
      <c r="L62" s="13">
        <f t="shared" si="14"/>
        <v>49640.749999999993</v>
      </c>
    </row>
    <row r="63" spans="1:12" ht="15.75" customHeight="1" x14ac:dyDescent="0.2">
      <c r="A63" s="1">
        <v>35000</v>
      </c>
      <c r="B63" s="5">
        <f t="shared" si="9"/>
        <v>1050</v>
      </c>
      <c r="C63" s="14">
        <v>25</v>
      </c>
      <c r="D63" s="14">
        <f t="shared" si="10"/>
        <v>1025</v>
      </c>
      <c r="E63" s="18">
        <f t="shared" si="11"/>
        <v>36050</v>
      </c>
      <c r="F63" s="1">
        <v>12</v>
      </c>
      <c r="G63" s="19">
        <v>0.06</v>
      </c>
      <c r="H63" s="6">
        <f t="shared" si="12"/>
        <v>5167.166666666667</v>
      </c>
      <c r="I63" s="11">
        <f t="shared" si="8"/>
        <v>45.0625</v>
      </c>
      <c r="J63" s="11">
        <v>12</v>
      </c>
      <c r="K63" s="12">
        <f t="shared" si="13"/>
        <v>5224.229166666667</v>
      </c>
      <c r="L63" s="13">
        <f t="shared" si="14"/>
        <v>62690.75</v>
      </c>
    </row>
    <row r="64" spans="1:12" ht="15.75" customHeight="1" x14ac:dyDescent="0.2">
      <c r="A64" s="1">
        <v>35000</v>
      </c>
      <c r="B64" s="5">
        <f t="shared" si="9"/>
        <v>1050</v>
      </c>
      <c r="C64" s="14">
        <v>25</v>
      </c>
      <c r="D64" s="14">
        <f t="shared" si="10"/>
        <v>1025</v>
      </c>
      <c r="E64" s="18">
        <f t="shared" si="11"/>
        <v>36050</v>
      </c>
      <c r="F64" s="1">
        <v>18</v>
      </c>
      <c r="G64" s="19">
        <v>4.4999999999999998E-2</v>
      </c>
      <c r="H64" s="6">
        <f t="shared" si="12"/>
        <v>3625.0277777777778</v>
      </c>
      <c r="I64" s="11">
        <f t="shared" si="8"/>
        <v>30.041666666666668</v>
      </c>
      <c r="J64" s="11">
        <v>12</v>
      </c>
      <c r="K64" s="12">
        <f t="shared" si="13"/>
        <v>3667.0694444444443</v>
      </c>
      <c r="L64" s="13">
        <f t="shared" si="14"/>
        <v>66007.25</v>
      </c>
    </row>
    <row r="65" spans="1:13" ht="15.75" customHeight="1" x14ac:dyDescent="0.2">
      <c r="A65" s="1">
        <v>35000</v>
      </c>
      <c r="B65" s="5">
        <f t="shared" si="9"/>
        <v>1050</v>
      </c>
      <c r="C65" s="14">
        <v>25</v>
      </c>
      <c r="D65" s="14">
        <f t="shared" si="10"/>
        <v>1025</v>
      </c>
      <c r="E65" s="18">
        <f t="shared" si="11"/>
        <v>36050</v>
      </c>
      <c r="F65" s="1">
        <v>24</v>
      </c>
      <c r="G65" s="19">
        <v>0.04</v>
      </c>
      <c r="H65" s="6">
        <f t="shared" si="12"/>
        <v>2944.0833333333335</v>
      </c>
      <c r="I65" s="11">
        <f t="shared" si="8"/>
        <v>22.53125</v>
      </c>
      <c r="J65" s="11">
        <v>12</v>
      </c>
      <c r="K65" s="12">
        <f t="shared" si="13"/>
        <v>2978.6145833333335</v>
      </c>
      <c r="L65" s="13">
        <f t="shared" si="14"/>
        <v>71486.75</v>
      </c>
    </row>
    <row r="66" spans="1:13" ht="15.75" customHeight="1" x14ac:dyDescent="0.2">
      <c r="A66" s="1">
        <v>35000</v>
      </c>
      <c r="B66" s="5">
        <f t="shared" si="9"/>
        <v>1050</v>
      </c>
      <c r="C66" s="14">
        <v>25</v>
      </c>
      <c r="D66" s="14">
        <f t="shared" si="10"/>
        <v>1025</v>
      </c>
      <c r="E66" s="18">
        <f t="shared" si="11"/>
        <v>36050</v>
      </c>
      <c r="F66" s="1">
        <v>36</v>
      </c>
      <c r="G66" s="19">
        <v>2.75E-2</v>
      </c>
      <c r="H66" s="6">
        <f t="shared" si="12"/>
        <v>1992.7638888888889</v>
      </c>
      <c r="I66" s="11">
        <f t="shared" si="8"/>
        <v>15.020833333333334</v>
      </c>
      <c r="J66" s="11">
        <v>12</v>
      </c>
      <c r="K66" s="12">
        <f t="shared" si="13"/>
        <v>2019.7847222222222</v>
      </c>
      <c r="L66" s="13">
        <f t="shared" si="14"/>
        <v>72712.25</v>
      </c>
    </row>
    <row r="67" spans="1:13" ht="17.25" customHeight="1" x14ac:dyDescent="0.2">
      <c r="A67" s="1">
        <v>40000</v>
      </c>
      <c r="B67" s="5">
        <f t="shared" si="9"/>
        <v>1200</v>
      </c>
      <c r="C67" s="14">
        <v>25</v>
      </c>
      <c r="D67" s="14">
        <f t="shared" si="10"/>
        <v>1175</v>
      </c>
      <c r="E67" s="18">
        <f t="shared" si="11"/>
        <v>41200</v>
      </c>
      <c r="F67" s="1">
        <v>6</v>
      </c>
      <c r="G67" s="19">
        <v>0.06</v>
      </c>
      <c r="H67" s="6">
        <f t="shared" si="12"/>
        <v>9338.6666666666661</v>
      </c>
      <c r="I67" s="11">
        <f t="shared" si="8"/>
        <v>103</v>
      </c>
      <c r="J67" s="11">
        <v>12</v>
      </c>
      <c r="K67" s="12">
        <f t="shared" si="13"/>
        <v>9453.6666666666661</v>
      </c>
      <c r="L67" s="13">
        <f t="shared" si="14"/>
        <v>56722</v>
      </c>
    </row>
    <row r="68" spans="1:13" ht="17.25" customHeight="1" x14ac:dyDescent="0.2">
      <c r="A68" s="1">
        <v>40000</v>
      </c>
      <c r="B68" s="5">
        <f t="shared" si="9"/>
        <v>1200</v>
      </c>
      <c r="C68" s="14">
        <v>25</v>
      </c>
      <c r="D68" s="14">
        <f t="shared" si="10"/>
        <v>1175</v>
      </c>
      <c r="E68" s="18">
        <f t="shared" si="11"/>
        <v>41200</v>
      </c>
      <c r="F68" s="1">
        <v>12</v>
      </c>
      <c r="G68" s="19">
        <v>0.06</v>
      </c>
      <c r="H68" s="6">
        <f t="shared" si="12"/>
        <v>5905.333333333333</v>
      </c>
      <c r="I68" s="11">
        <f t="shared" si="8"/>
        <v>51.5</v>
      </c>
      <c r="J68" s="11">
        <v>12</v>
      </c>
      <c r="K68" s="12">
        <f t="shared" si="13"/>
        <v>5968.833333333333</v>
      </c>
      <c r="L68" s="13">
        <f t="shared" si="14"/>
        <v>71626</v>
      </c>
    </row>
    <row r="69" spans="1:13" ht="17.25" customHeight="1" x14ac:dyDescent="0.2">
      <c r="A69" s="1">
        <v>40000</v>
      </c>
      <c r="B69" s="5">
        <f t="shared" si="9"/>
        <v>1200</v>
      </c>
      <c r="C69" s="14">
        <v>25</v>
      </c>
      <c r="D69" s="14">
        <f t="shared" si="10"/>
        <v>1175</v>
      </c>
      <c r="E69" s="18">
        <f t="shared" si="11"/>
        <v>41200</v>
      </c>
      <c r="F69" s="1">
        <v>18</v>
      </c>
      <c r="G69" s="19">
        <v>4.4999999999999998E-2</v>
      </c>
      <c r="H69" s="6">
        <f t="shared" si="12"/>
        <v>4142.8888888888887</v>
      </c>
      <c r="I69" s="11">
        <f t="shared" si="8"/>
        <v>34.333333333333336</v>
      </c>
      <c r="J69" s="11">
        <v>12</v>
      </c>
      <c r="K69" s="12">
        <f t="shared" si="13"/>
        <v>4189.2222222222217</v>
      </c>
      <c r="L69" s="13">
        <f t="shared" si="14"/>
        <v>75405.999999999985</v>
      </c>
    </row>
    <row r="70" spans="1:13" ht="17.25" customHeight="1" x14ac:dyDescent="0.2">
      <c r="A70" s="1">
        <v>40000</v>
      </c>
      <c r="B70" s="5">
        <f t="shared" si="9"/>
        <v>1200</v>
      </c>
      <c r="C70" s="14">
        <v>25</v>
      </c>
      <c r="D70" s="14">
        <f t="shared" si="10"/>
        <v>1175</v>
      </c>
      <c r="E70" s="18">
        <f t="shared" si="11"/>
        <v>41200</v>
      </c>
      <c r="F70" s="1">
        <v>24</v>
      </c>
      <c r="G70" s="19">
        <v>0.04</v>
      </c>
      <c r="H70" s="6">
        <f t="shared" si="12"/>
        <v>3364.6666666666665</v>
      </c>
      <c r="I70" s="11">
        <f t="shared" si="8"/>
        <v>25.75</v>
      </c>
      <c r="J70" s="11">
        <v>12</v>
      </c>
      <c r="K70" s="12">
        <f t="shared" si="13"/>
        <v>3402.4166666666665</v>
      </c>
      <c r="L70" s="13">
        <f t="shared" si="14"/>
        <v>81658</v>
      </c>
    </row>
    <row r="71" spans="1:13" ht="17.25" customHeight="1" x14ac:dyDescent="0.2">
      <c r="A71" s="9">
        <v>40000</v>
      </c>
      <c r="B71" s="5">
        <f t="shared" si="9"/>
        <v>1200</v>
      </c>
      <c r="C71" s="14">
        <v>25</v>
      </c>
      <c r="D71" s="14">
        <f t="shared" si="10"/>
        <v>1175</v>
      </c>
      <c r="E71" s="18">
        <f t="shared" si="11"/>
        <v>41200</v>
      </c>
      <c r="F71" s="9">
        <v>36</v>
      </c>
      <c r="G71" s="19">
        <v>2.75E-2</v>
      </c>
      <c r="H71" s="6">
        <f t="shared" si="12"/>
        <v>2277.4444444444443</v>
      </c>
      <c r="I71" s="11">
        <f t="shared" ref="I71:I83" si="15">(0.015*E71)/F71</f>
        <v>17.166666666666668</v>
      </c>
      <c r="J71" s="11">
        <v>12</v>
      </c>
      <c r="K71" s="12">
        <f t="shared" si="13"/>
        <v>2306.6111111111109</v>
      </c>
      <c r="L71" s="13">
        <f t="shared" si="14"/>
        <v>83037.999999999985</v>
      </c>
    </row>
    <row r="72" spans="1:13" ht="15" x14ac:dyDescent="0.2">
      <c r="A72" s="10">
        <v>45000</v>
      </c>
      <c r="B72" s="5">
        <f t="shared" si="9"/>
        <v>1350</v>
      </c>
      <c r="C72" s="14">
        <v>25</v>
      </c>
      <c r="D72" s="14">
        <f t="shared" si="10"/>
        <v>1325</v>
      </c>
      <c r="E72" s="18">
        <f t="shared" si="11"/>
        <v>46350</v>
      </c>
      <c r="F72" s="10">
        <v>6</v>
      </c>
      <c r="G72" s="19">
        <v>0.06</v>
      </c>
      <c r="H72" s="6">
        <f t="shared" si="12"/>
        <v>10506</v>
      </c>
      <c r="I72" s="11">
        <f t="shared" si="15"/>
        <v>115.875</v>
      </c>
      <c r="J72" s="11">
        <v>12</v>
      </c>
      <c r="K72" s="12">
        <f t="shared" si="13"/>
        <v>10633.875</v>
      </c>
      <c r="L72" s="13">
        <f t="shared" si="14"/>
        <v>63803.25</v>
      </c>
    </row>
    <row r="73" spans="1:13" ht="15" x14ac:dyDescent="0.2">
      <c r="A73" s="10">
        <v>13000</v>
      </c>
      <c r="B73" s="5">
        <f t="shared" si="9"/>
        <v>390</v>
      </c>
      <c r="C73" s="14">
        <v>25</v>
      </c>
      <c r="D73" s="14">
        <f t="shared" si="10"/>
        <v>365</v>
      </c>
      <c r="E73" s="18">
        <f t="shared" si="11"/>
        <v>13390</v>
      </c>
      <c r="F73" s="10">
        <v>12</v>
      </c>
      <c r="G73" s="19">
        <v>0.06</v>
      </c>
      <c r="H73" s="6">
        <f t="shared" si="12"/>
        <v>1919.2333333333333</v>
      </c>
      <c r="I73" s="11">
        <f t="shared" si="15"/>
        <v>16.737500000000001</v>
      </c>
      <c r="J73" s="11">
        <v>12</v>
      </c>
      <c r="K73" s="12">
        <f t="shared" si="13"/>
        <v>1947.9708333333333</v>
      </c>
      <c r="L73" s="13">
        <f t="shared" si="14"/>
        <v>23375.65</v>
      </c>
      <c r="M73" s="4">
        <f>K73-11.95</f>
        <v>1936.0208333333333</v>
      </c>
    </row>
    <row r="74" spans="1:13" ht="15" x14ac:dyDescent="0.2">
      <c r="A74" s="10">
        <v>45000</v>
      </c>
      <c r="B74" s="5">
        <f t="shared" si="9"/>
        <v>1350</v>
      </c>
      <c r="C74" s="14">
        <v>25</v>
      </c>
      <c r="D74" s="14">
        <f t="shared" si="10"/>
        <v>1325</v>
      </c>
      <c r="E74" s="18">
        <f t="shared" si="11"/>
        <v>46350</v>
      </c>
      <c r="F74" s="10">
        <v>18</v>
      </c>
      <c r="G74" s="19">
        <v>4.4999999999999998E-2</v>
      </c>
      <c r="H74" s="6">
        <f t="shared" si="12"/>
        <v>4660.75</v>
      </c>
      <c r="I74" s="11">
        <f t="shared" si="15"/>
        <v>38.625</v>
      </c>
      <c r="J74" s="11">
        <v>12</v>
      </c>
      <c r="K74" s="12">
        <f t="shared" si="13"/>
        <v>4711.375</v>
      </c>
      <c r="L74" s="13">
        <f t="shared" si="14"/>
        <v>84804.75</v>
      </c>
    </row>
    <row r="75" spans="1:13" ht="15" x14ac:dyDescent="0.2">
      <c r="A75" s="10">
        <v>13000</v>
      </c>
      <c r="B75" s="5">
        <f t="shared" si="9"/>
        <v>390</v>
      </c>
      <c r="C75" s="14">
        <v>25</v>
      </c>
      <c r="D75" s="14">
        <f t="shared" si="10"/>
        <v>365</v>
      </c>
      <c r="E75" s="18">
        <f t="shared" si="11"/>
        <v>13390</v>
      </c>
      <c r="F75" s="10">
        <v>24</v>
      </c>
      <c r="G75" s="19">
        <v>0.04</v>
      </c>
      <c r="H75" s="6">
        <f t="shared" si="12"/>
        <v>1093.5166666666667</v>
      </c>
      <c r="I75" s="11">
        <f t="shared" si="15"/>
        <v>8.3687500000000004</v>
      </c>
      <c r="J75" s="11">
        <v>12</v>
      </c>
      <c r="K75" s="12">
        <f t="shared" si="13"/>
        <v>1113.8854166666667</v>
      </c>
      <c r="L75" s="13">
        <f t="shared" si="14"/>
        <v>26733.25</v>
      </c>
      <c r="M75" s="4">
        <f>K75-11.95</f>
        <v>1101.9354166666667</v>
      </c>
    </row>
    <row r="76" spans="1:13" ht="15" x14ac:dyDescent="0.2">
      <c r="A76" s="10">
        <v>20000</v>
      </c>
      <c r="B76" s="5">
        <f t="shared" si="9"/>
        <v>600</v>
      </c>
      <c r="C76" s="14">
        <v>25</v>
      </c>
      <c r="D76" s="14">
        <f t="shared" si="10"/>
        <v>575</v>
      </c>
      <c r="E76" s="18">
        <f t="shared" si="11"/>
        <v>20600</v>
      </c>
      <c r="F76" s="10">
        <v>36</v>
      </c>
      <c r="G76" s="19">
        <v>2.75E-2</v>
      </c>
      <c r="H76" s="6">
        <f t="shared" si="12"/>
        <v>1138.7222222222222</v>
      </c>
      <c r="I76" s="11">
        <f t="shared" si="15"/>
        <v>8.5833333333333339</v>
      </c>
      <c r="J76" s="11">
        <v>12</v>
      </c>
      <c r="K76" s="12">
        <f t="shared" si="13"/>
        <v>1159.3055555555554</v>
      </c>
      <c r="L76" s="13">
        <f t="shared" si="14"/>
        <v>41734.999999999993</v>
      </c>
      <c r="M76" s="4">
        <f>K76-11.95</f>
        <v>1147.3555555555554</v>
      </c>
    </row>
    <row r="77" spans="1:13" ht="15" x14ac:dyDescent="0.2">
      <c r="A77" s="10">
        <v>45000</v>
      </c>
      <c r="B77" s="5">
        <f t="shared" si="9"/>
        <v>1350</v>
      </c>
      <c r="C77" s="14">
        <v>25</v>
      </c>
      <c r="D77" s="14">
        <f t="shared" si="10"/>
        <v>1325</v>
      </c>
      <c r="E77" s="18">
        <f t="shared" si="11"/>
        <v>46350</v>
      </c>
      <c r="F77" s="10">
        <v>48</v>
      </c>
      <c r="G77" s="20">
        <v>2.07E-2</v>
      </c>
      <c r="H77" s="6">
        <f t="shared" si="12"/>
        <v>1925.07</v>
      </c>
      <c r="I77" s="11">
        <f t="shared" si="15"/>
        <v>14.484375</v>
      </c>
      <c r="J77" s="11">
        <v>12</v>
      </c>
      <c r="K77" s="12">
        <f t="shared" si="13"/>
        <v>1951.5543749999999</v>
      </c>
      <c r="L77" s="13">
        <f t="shared" si="14"/>
        <v>93674.61</v>
      </c>
    </row>
    <row r="78" spans="1:13" ht="15" x14ac:dyDescent="0.2">
      <c r="A78" s="10">
        <v>10000</v>
      </c>
      <c r="B78" s="5">
        <f t="shared" si="9"/>
        <v>300</v>
      </c>
      <c r="C78" s="14">
        <v>25</v>
      </c>
      <c r="D78" s="14">
        <f t="shared" si="10"/>
        <v>275</v>
      </c>
      <c r="E78" s="18">
        <f t="shared" si="11"/>
        <v>10300</v>
      </c>
      <c r="F78" s="10">
        <v>6</v>
      </c>
      <c r="G78" s="19">
        <v>0.06</v>
      </c>
      <c r="H78" s="6">
        <f t="shared" si="12"/>
        <v>2334.6666666666665</v>
      </c>
      <c r="I78" s="11">
        <f t="shared" si="15"/>
        <v>25.75</v>
      </c>
      <c r="J78" s="11">
        <v>12</v>
      </c>
      <c r="K78" s="12">
        <f t="shared" si="13"/>
        <v>2372.4166666666665</v>
      </c>
      <c r="L78" s="13">
        <f t="shared" si="14"/>
        <v>14234.5</v>
      </c>
    </row>
    <row r="79" spans="1:13" ht="15" x14ac:dyDescent="0.2">
      <c r="A79" s="10">
        <v>10000</v>
      </c>
      <c r="B79" s="5">
        <f t="shared" si="9"/>
        <v>300</v>
      </c>
      <c r="C79" s="14">
        <v>25</v>
      </c>
      <c r="D79" s="14">
        <f t="shared" si="10"/>
        <v>275</v>
      </c>
      <c r="E79" s="18">
        <f t="shared" si="11"/>
        <v>10300</v>
      </c>
      <c r="F79" s="10">
        <v>12</v>
      </c>
      <c r="G79" s="19">
        <v>0.06</v>
      </c>
      <c r="H79" s="6">
        <f t="shared" si="12"/>
        <v>1476.3333333333333</v>
      </c>
      <c r="I79" s="11">
        <f t="shared" si="15"/>
        <v>12.875</v>
      </c>
      <c r="J79" s="11">
        <v>12</v>
      </c>
      <c r="K79" s="12">
        <f t="shared" si="13"/>
        <v>1501.2083333333333</v>
      </c>
      <c r="L79" s="13">
        <f t="shared" si="14"/>
        <v>18014.5</v>
      </c>
      <c r="M79" s="4">
        <f>K79-11.95</f>
        <v>1489.2583333333332</v>
      </c>
    </row>
    <row r="80" spans="1:13" ht="15" x14ac:dyDescent="0.2">
      <c r="A80" s="10">
        <v>10000</v>
      </c>
      <c r="B80" s="5">
        <f t="shared" si="9"/>
        <v>300</v>
      </c>
      <c r="C80" s="14">
        <v>25</v>
      </c>
      <c r="D80" s="14">
        <f t="shared" si="10"/>
        <v>275</v>
      </c>
      <c r="E80" s="18">
        <f t="shared" si="11"/>
        <v>10300</v>
      </c>
      <c r="F80" s="10">
        <v>18</v>
      </c>
      <c r="G80" s="19">
        <v>4.4999999999999998E-2</v>
      </c>
      <c r="H80" s="6">
        <f t="shared" si="12"/>
        <v>1035.7222222222222</v>
      </c>
      <c r="I80" s="11">
        <f t="shared" si="15"/>
        <v>8.5833333333333339</v>
      </c>
      <c r="J80" s="11">
        <v>12</v>
      </c>
      <c r="K80" s="12">
        <f t="shared" si="13"/>
        <v>1056.3055555555554</v>
      </c>
      <c r="L80" s="13">
        <f t="shared" si="14"/>
        <v>19013.499999999996</v>
      </c>
    </row>
    <row r="81" spans="1:13" ht="15" x14ac:dyDescent="0.2">
      <c r="A81" s="10">
        <v>10000</v>
      </c>
      <c r="B81" s="5">
        <f t="shared" si="9"/>
        <v>300</v>
      </c>
      <c r="C81" s="14">
        <v>25</v>
      </c>
      <c r="D81" s="14">
        <f t="shared" si="10"/>
        <v>275</v>
      </c>
      <c r="E81" s="18">
        <f t="shared" si="11"/>
        <v>10300</v>
      </c>
      <c r="F81" s="10">
        <v>24</v>
      </c>
      <c r="G81" s="19">
        <v>0.04</v>
      </c>
      <c r="H81" s="6">
        <f t="shared" si="12"/>
        <v>841.16666666666663</v>
      </c>
      <c r="I81" s="11">
        <f t="shared" si="15"/>
        <v>6.4375</v>
      </c>
      <c r="J81" s="11">
        <v>12</v>
      </c>
      <c r="K81" s="12">
        <f t="shared" si="13"/>
        <v>859.60416666666663</v>
      </c>
      <c r="L81" s="13">
        <f t="shared" si="14"/>
        <v>20630.5</v>
      </c>
      <c r="M81" s="4">
        <f>K81-11.95</f>
        <v>847.65416666666658</v>
      </c>
    </row>
    <row r="82" spans="1:13" ht="15" x14ac:dyDescent="0.2">
      <c r="A82" s="10">
        <v>10000</v>
      </c>
      <c r="B82" s="5">
        <f t="shared" si="9"/>
        <v>300</v>
      </c>
      <c r="C82" s="14">
        <v>25</v>
      </c>
      <c r="D82" s="14">
        <f t="shared" si="10"/>
        <v>275</v>
      </c>
      <c r="E82" s="18">
        <f t="shared" si="11"/>
        <v>10300</v>
      </c>
      <c r="F82" s="10">
        <v>36</v>
      </c>
      <c r="G82" s="19">
        <v>2.75E-2</v>
      </c>
      <c r="H82" s="6">
        <f t="shared" si="12"/>
        <v>569.36111111111109</v>
      </c>
      <c r="I82" s="11">
        <f t="shared" si="15"/>
        <v>4.291666666666667</v>
      </c>
      <c r="J82" s="11">
        <v>12</v>
      </c>
      <c r="K82" s="12">
        <f t="shared" si="13"/>
        <v>585.65277777777771</v>
      </c>
      <c r="L82" s="13">
        <f t="shared" si="14"/>
        <v>21083.499999999996</v>
      </c>
    </row>
    <row r="83" spans="1:13" ht="15" x14ac:dyDescent="0.2">
      <c r="A83" s="10">
        <v>10000</v>
      </c>
      <c r="B83" s="5">
        <f t="shared" si="9"/>
        <v>300</v>
      </c>
      <c r="C83" s="14">
        <v>25</v>
      </c>
      <c r="D83" s="14">
        <f t="shared" si="10"/>
        <v>275</v>
      </c>
      <c r="E83" s="18">
        <f t="shared" si="11"/>
        <v>10300</v>
      </c>
      <c r="F83" s="10">
        <v>48</v>
      </c>
      <c r="G83" s="20">
        <v>2.07E-2</v>
      </c>
      <c r="H83" s="6">
        <f t="shared" si="12"/>
        <v>427.79333333333335</v>
      </c>
      <c r="I83" s="11">
        <f t="shared" si="15"/>
        <v>3.21875</v>
      </c>
      <c r="J83" s="11">
        <v>12</v>
      </c>
      <c r="K83" s="12">
        <f t="shared" si="13"/>
        <v>443.01208333333335</v>
      </c>
      <c r="L83" s="13">
        <f>K83*F83</f>
        <v>21264.58</v>
      </c>
    </row>
    <row r="84" spans="1:13" x14ac:dyDescent="0.2">
      <c r="C84" s="4"/>
      <c r="D84" s="4"/>
    </row>
    <row r="85" spans="1:13" x14ac:dyDescent="0.2">
      <c r="C85" s="4"/>
      <c r="D85" s="4"/>
    </row>
    <row r="86" spans="1:13" x14ac:dyDescent="0.2">
      <c r="C86" s="4"/>
      <c r="D86" s="4"/>
    </row>
    <row r="87" spans="1:13" x14ac:dyDescent="0.2">
      <c r="C87" s="4"/>
      <c r="D87" s="4"/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Midi Micro lenders</dc:creator>
  <cp:lastModifiedBy>Midi Micro lenders</cp:lastModifiedBy>
  <cp:lastPrinted>2024-10-23T07:11:04Z</cp:lastPrinted>
  <dcterms:created xsi:type="dcterms:W3CDTF">2024-07-17T07:25:23Z</dcterms:created>
  <dcterms:modified xsi:type="dcterms:W3CDTF">2026-10-06T12:18:48Z</dcterms:modified>
</cp:coreProperties>
</file>